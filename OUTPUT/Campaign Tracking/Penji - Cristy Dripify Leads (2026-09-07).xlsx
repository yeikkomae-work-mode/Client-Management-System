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Summary" sheetId="2" state="visible" r:id="rId4"/>
  </sheets>
  <definedNames>
    <definedName function="false" hidden="true" localSheetId="0" name="_xlnm._FilterDatabase" vbProcedure="false">Leads!$A$1:$T$132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<sst xmlns="http://schemas.openxmlformats.org/spreadsheetml/2006/main" count="1745" uniqueCount="1020">
  <si>
    <t xml:space="preserve">First</t>
  </si>
  <si>
    <t xml:space="preserve">Last</t>
  </si>
  <si>
    <t xml:space="preserve">Title</t>
  </si>
  <si>
    <t xml:space="preserve">Company</t>
  </si>
  <si>
    <t xml:space="preserve">Occupation (headline)</t>
  </si>
  <si>
    <t xml:space="preserve">City</t>
  </si>
  <si>
    <t xml:space="preserve">Country</t>
  </si>
  <si>
    <t xml:space="preserve">Website</t>
  </si>
  <si>
    <t xml:space="preserve">LinkedIn URL</t>
  </si>
  <si>
    <t xml:space="preserve">Connections</t>
  </si>
  <si>
    <t xml:space="preserve">Premium</t>
  </si>
  <si>
    <t xml:space="preserve">Status</t>
  </si>
  <si>
    <t xml:space="preserve">Failure reason</t>
  </si>
  <si>
    <t xml:space="preserve">Invite sent</t>
  </si>
  <si>
    <t xml:space="preserve">Accepted</t>
  </si>
  <si>
    <t xml:space="preserve">Replied</t>
  </si>
  <si>
    <t xml:space="preserve">Msgs sent</t>
  </si>
  <si>
    <t xml:space="preserve">Last event</t>
  </si>
  <si>
    <t xml:space="preserve">Event trail</t>
  </si>
  <si>
    <t xml:space="preserve">Dripify lead ID</t>
  </si>
  <si>
    <t xml:space="preserve">Felicia</t>
  </si>
  <si>
    <t xml:space="preserve"> Modupe</t>
  </si>
  <si>
    <t xml:space="preserve">Founder</t>
  </si>
  <si>
    <t xml:space="preserve">Branded Image Media</t>
  </si>
  <si>
    <t xml:space="preserve">the lab didn’t work out. so i started experimenting with brands. | I help founders turn their expertise into content that converts. | Trusted by 25+ brands</t>
  </si>
  <si>
    <t xml:space="preserve">Washington DC-Baltimore Area, United States</t>
  </si>
  <si>
    <t xml:space="preserve">United States</t>
  </si>
  <si>
    <t xml:space="preserve">https://canva.link/letk0acox549nb8</t>
  </si>
  <si>
    <t xml:space="preserve">https://www.linkedin.com/in/felicia-ogunsola</t>
  </si>
  <si>
    <t xml:space="preserve">No</t>
  </si>
  <si>
    <t xml:space="preserve">2026-09-05</t>
  </si>
  <si>
    <t xml:space="preserve">2026-09-07</t>
  </si>
  <si>
    <t xml:space="preserve">2026-09-07 00:27</t>
  </si>
  <si>
    <t xml:space="preserve">CONNECT_SENT → INVITE_ACCEPTED → MESSAGE_SENT → MESSAGE_RESPONDED</t>
  </si>
  <si>
    <t xml:space="preserve">Peter</t>
  </si>
  <si>
    <t xml:space="preserve">Hedley - CoreCentrica</t>
  </si>
  <si>
    <t xml:space="preserve">Co-Founder | Creative Art Director</t>
  </si>
  <si>
    <t xml:space="preserve">CoreCentrica</t>
  </si>
  <si>
    <t xml:space="preserve">Creative Art Director &amp; Brand Strategist | CC Co-Founder</t>
  </si>
  <si>
    <t xml:space="preserve">Springfield, New Hampshire, United States</t>
  </si>
  <si>
    <t xml:space="preserve">https://www.corecentrica.com</t>
  </si>
  <si>
    <t xml:space="preserve">https://www.linkedin.com/in/corecentrica</t>
  </si>
  <si>
    <t xml:space="preserve">Yes</t>
  </si>
  <si>
    <t xml:space="preserve">2026-09-02</t>
  </si>
  <si>
    <t xml:space="preserve">2026-09-03</t>
  </si>
  <si>
    <t xml:space="preserve">2026-09-06</t>
  </si>
  <si>
    <t xml:space="preserve">2026-09-06 15:04</t>
  </si>
  <si>
    <t xml:space="preserve">CONNECT_SENT → LIKED → INVITE_ACCEPTED → MESSAGE_SENT → MESSAGE_SENT → MESSAGE_RESPONDED</t>
  </si>
  <si>
    <t xml:space="preserve">Alexis</t>
  </si>
  <si>
    <t xml:space="preserve">Blum</t>
  </si>
  <si>
    <t xml:space="preserve">Director of Client Services</t>
  </si>
  <si>
    <t xml:space="preserve">SUPPLY</t>
  </si>
  <si>
    <t xml:space="preserve">Digital Media enthusiast | Accomplished Client Success and Account Management Leader and Mentor | Conceptual and Empathatic management | Operationally Efficient | Cross-Functional and Managerial collaborator |</t>
  </si>
  <si>
    <t xml:space="preserve">Los Angeles Metropolitan Area, United States</t>
  </si>
  <si>
    <t xml:space="preserve">https://www.linkedin.com/in/alexisblum</t>
  </si>
  <si>
    <t xml:space="preserve">2026-09-04</t>
  </si>
  <si>
    <t xml:space="preserve">2026-09-07 01:11</t>
  </si>
  <si>
    <t xml:space="preserve">CONNECT_SENT → INVITE_ACCEPTED → MESSAGE_SENT → MESSAGE_SENT</t>
  </si>
  <si>
    <t xml:space="preserve">Adeina</t>
  </si>
  <si>
    <t xml:space="preserve">Mars</t>
  </si>
  <si>
    <t xml:space="preserve">Client Success Manager</t>
  </si>
  <si>
    <t xml:space="preserve">GRO</t>
  </si>
  <si>
    <t xml:space="preserve">Professional hype woman | Client Success Manager | GRO </t>
  </si>
  <si>
    <t xml:space="preserve">Evansville, Indiana, United States</t>
  </si>
  <si>
    <t xml:space="preserve">https://www.linkedin.com/in/adeina-mars</t>
  </si>
  <si>
    <t xml:space="preserve">2026-09-07 02:35</t>
  </si>
  <si>
    <t xml:space="preserve">Casey</t>
  </si>
  <si>
    <t xml:space="preserve">Mckenna Luff</t>
  </si>
  <si>
    <t xml:space="preserve">CEO &amp; Founder</t>
  </si>
  <si>
    <t xml:space="preserve">McKenna Marketing Solutions</t>
  </si>
  <si>
    <t xml:space="preserve">CEO at McKenna Marketing Solutions | Social Media Management and Digital Marketing </t>
  </si>
  <si>
    <t xml:space="preserve">Greater Tampa Bay Area</t>
  </si>
  <si>
    <t xml:space="preserve">https://www.mdlogic.com</t>
  </si>
  <si>
    <t xml:space="preserve">https://www.linkedin.com/in/casey-mckenna-luff-004a50173</t>
  </si>
  <si>
    <t xml:space="preserve">2026-09-05 02:38</t>
  </si>
  <si>
    <t xml:space="preserve">Josh</t>
  </si>
  <si>
    <t xml:space="preserve">Naaman</t>
  </si>
  <si>
    <t xml:space="preserve">Co-Founder</t>
  </si>
  <si>
    <t xml:space="preserve">OppKo</t>
  </si>
  <si>
    <t xml:space="preserve">CEO of Naaman Creative | Co-Founder of OppKo | Co-Founder of Connect St. Pete | Dad | Drummer</t>
  </si>
  <si>
    <t xml:space="preserve">St. Petersburg, Florida, United States</t>
  </si>
  <si>
    <t xml:space="preserve">https://naamancreative.com</t>
  </si>
  <si>
    <t xml:space="preserve">https://www.linkedin.com/in/joshnaaman</t>
  </si>
  <si>
    <t xml:space="preserve">2026-09-06 01:16</t>
  </si>
  <si>
    <t xml:space="preserve">Monisha</t>
  </si>
  <si>
    <t xml:space="preserve">Wimberly, MBA</t>
  </si>
  <si>
    <t xml:space="preserve">Client Success Manager, Client Services</t>
  </si>
  <si>
    <t xml:space="preserve">adHere, Inc</t>
  </si>
  <si>
    <t xml:space="preserve">Customer Success Leader | Strategic Account Management | Renewals, Expansion, ARR &amp; NRR | Executive Stakeholders | QBRs</t>
  </si>
  <si>
    <t xml:space="preserve">Atlanta, Georgia, United States</t>
  </si>
  <si>
    <t xml:space="preserve">https://www.linkedin.com/in/monishaw</t>
  </si>
  <si>
    <t xml:space="preserve">2026-09-07 01:17</t>
  </si>
  <si>
    <t xml:space="preserve">Lily</t>
  </si>
  <si>
    <t xml:space="preserve">Andrews</t>
  </si>
  <si>
    <t xml:space="preserve">Lotiva</t>
  </si>
  <si>
    <t xml:space="preserve">Founder &amp; CEO of Lotiva</t>
  </si>
  <si>
    <t xml:space="preserve">www.lotiva.com</t>
  </si>
  <si>
    <t xml:space="preserve">https://www.linkedin.com/in/lilianaouthere</t>
  </si>
  <si>
    <t xml:space="preserve">Invite sent (pending)</t>
  </si>
  <si>
    <t xml:space="preserve">2026-09-07 01:34</t>
  </si>
  <si>
    <t xml:space="preserve">CONNECT_SENT → LIKED</t>
  </si>
  <si>
    <t xml:space="preserve">Kanad</t>
  </si>
  <si>
    <t xml:space="preserve">Banerjee</t>
  </si>
  <si>
    <t xml:space="preserve">Creative Director / Art Director</t>
  </si>
  <si>
    <t xml:space="preserve">Freelance</t>
  </si>
  <si>
    <t xml:space="preserve">Good for pitches and launches, and everything in between!</t>
  </si>
  <si>
    <t xml:space="preserve">New York City Metropolitan Area, United States</t>
  </si>
  <si>
    <t xml:space="preserve">http://www.krop.com/kanadbanerjee</t>
  </si>
  <si>
    <t xml:space="preserve">https://www.linkedin.com/in/kanban</t>
  </si>
  <si>
    <t xml:space="preserve">2026-09-07 01:25</t>
  </si>
  <si>
    <t xml:space="preserve">CONNECT_SENT</t>
  </si>
  <si>
    <t xml:space="preserve">Ryan</t>
  </si>
  <si>
    <t xml:space="preserve">Black</t>
  </si>
  <si>
    <t xml:space="preserve">Managing Partner &amp; Creative Director</t>
  </si>
  <si>
    <t xml:space="preserve">Alchemic</t>
  </si>
  <si>
    <t xml:space="preserve">Managing Partner at Alchemic | Brand Strategy | Operations | Business Development</t>
  </si>
  <si>
    <t xml:space="preserve">Cincinnati Metropolitan Area, United States</t>
  </si>
  <si>
    <t xml:space="preserve">https://ryanblack.org</t>
  </si>
  <si>
    <t xml:space="preserve">https://www.linkedin.com/in/ryanblackdotorg</t>
  </si>
  <si>
    <t xml:space="preserve">2026-09-07 01:30</t>
  </si>
  <si>
    <t xml:space="preserve">Nic</t>
  </si>
  <si>
    <t xml:space="preserve">Blazier</t>
  </si>
  <si>
    <t xml:space="preserve">Art Director</t>
  </si>
  <si>
    <t xml:space="preserve">Segal Savad</t>
  </si>
  <si>
    <t xml:space="preserve">Art Director at Segal Savad</t>
  </si>
  <si>
    <t xml:space="preserve">Buffalo, New York, United States</t>
  </si>
  <si>
    <t xml:space="preserve">https://www.linkedin.com/in/nkblazier</t>
  </si>
  <si>
    <t xml:space="preserve">2026-09-05 01:26</t>
  </si>
  <si>
    <t xml:space="preserve">Aidan</t>
  </si>
  <si>
    <t xml:space="preserve">Brannigan</t>
  </si>
  <si>
    <t xml:space="preserve">Founder &amp; CEO</t>
  </si>
  <si>
    <t xml:space="preserve">No Boring Brands</t>
  </si>
  <si>
    <t xml:space="preserve">Corporate Humor For Tech Companies | Founder &amp; CEO @ No Boring Brands</t>
  </si>
  <si>
    <t xml:space="preserve">Baltimore, Maryland, United States</t>
  </si>
  <si>
    <t xml:space="preserve">noboringbrands.co</t>
  </si>
  <si>
    <t xml:space="preserve">https://www.linkedin.com/in/aidanbrannigan</t>
  </si>
  <si>
    <t xml:space="preserve">2026-09-07 01:46</t>
  </si>
  <si>
    <t xml:space="preserve">Nafeesa</t>
  </si>
  <si>
    <t xml:space="preserve">Bratcher</t>
  </si>
  <si>
    <t xml:space="preserve">Director Of Client Services</t>
  </si>
  <si>
    <t xml:space="preserve">Optimum Media (formerly a4)</t>
  </si>
  <si>
    <t xml:space="preserve">Strategic Business &amp; Mission-Driven Leader | Building Teams, Cultures &amp; Programs that Deliver Results</t>
  </si>
  <si>
    <t xml:space="preserve">New York, New York, United States</t>
  </si>
  <si>
    <t xml:space="preserve">https://www.linkedin.com/in/nkbratcher</t>
  </si>
  <si>
    <t xml:space="preserve">2026-09-07 01:04</t>
  </si>
  <si>
    <t xml:space="preserve">Halston</t>
  </si>
  <si>
    <t xml:space="preserve">Brown</t>
  </si>
  <si>
    <t xml:space="preserve">360Connect, LP</t>
  </si>
  <si>
    <t xml:space="preserve">https://www.linkedin.com/in/halston-brown-806225177</t>
  </si>
  <si>
    <t xml:space="preserve">2026-09-06 01:29</t>
  </si>
  <si>
    <t xml:space="preserve">Mark</t>
  </si>
  <si>
    <t xml:space="preserve">Butorac</t>
  </si>
  <si>
    <t xml:space="preserve">Factor San Francisco</t>
  </si>
  <si>
    <t xml:space="preserve">Creative Director | Art Director</t>
  </si>
  <si>
    <t xml:space="preserve">San Francisco, California, United States</t>
  </si>
  <si>
    <t xml:space="preserve">http://www.markbutorac.com</t>
  </si>
  <si>
    <t xml:space="preserve">https://www.linkedin.com/in/markbutorac</t>
  </si>
  <si>
    <t xml:space="preserve">2026-09-07 01:44</t>
  </si>
  <si>
    <t xml:space="preserve">ERIC</t>
  </si>
  <si>
    <t xml:space="preserve">CRONIN</t>
  </si>
  <si>
    <t xml:space="preserve">FOUNDER | CREATIVE DIRECTOR ART</t>
  </si>
  <si>
    <t xml:space="preserve">CRONINMADE</t>
  </si>
  <si>
    <t xml:space="preserve">FOUNDER | CREATIVE DIRECTOR | ART @ CRONINMADE.COM</t>
  </si>
  <si>
    <t xml:space="preserve">Chicago, Illinois, United States</t>
  </si>
  <si>
    <t xml:space="preserve">https://www.croninmade.com/</t>
  </si>
  <si>
    <t xml:space="preserve">https://www.linkedin.com/in/croninmade</t>
  </si>
  <si>
    <t xml:space="preserve">2026-09-07 01:40</t>
  </si>
  <si>
    <t xml:space="preserve">Chris</t>
  </si>
  <si>
    <t xml:space="preserve">Cacci</t>
  </si>
  <si>
    <t xml:space="preserve">Principal Consultant / Founder</t>
  </si>
  <si>
    <t xml:space="preserve">CACCICO, LLC</t>
  </si>
  <si>
    <t xml:space="preserve">Design Director. Creative Strategist. Brand &amp; Digital Team Lead.</t>
  </si>
  <si>
    <t xml:space="preserve">https://chriscacci.com</t>
  </si>
  <si>
    <t xml:space="preserve">https://www.linkedin.com/in/chriscacci</t>
  </si>
  <si>
    <t xml:space="preserve">2026-09-07 01:00</t>
  </si>
  <si>
    <t xml:space="preserve">Ron</t>
  </si>
  <si>
    <t xml:space="preserve">Castaldo</t>
  </si>
  <si>
    <t xml:space="preserve">Creative Director/Art Director</t>
  </si>
  <si>
    <t xml:space="preserve">Freelance Self-Employed </t>
  </si>
  <si>
    <t xml:space="preserve">Executive Creative Director | Brand Transformation, In-House Agency Build, High-Performance Teams | Led the Mr. Cooper brand launch | $12M annual savings | 1M to 7M customers</t>
  </si>
  <si>
    <t xml:space="preserve">Dallas-Fort Worth Metroplex, United States</t>
  </si>
  <si>
    <t xml:space="preserve">http://www.roncastaldo.com</t>
  </si>
  <si>
    <t xml:space="preserve">https://www.linkedin.com/in/castaldoron</t>
  </si>
  <si>
    <t xml:space="preserve">2026-09-07 01:09</t>
  </si>
  <si>
    <t xml:space="preserve">Kim</t>
  </si>
  <si>
    <t xml:space="preserve">Castle</t>
  </si>
  <si>
    <t xml:space="preserve">Co-Founder / Director of AI Character Development</t>
  </si>
  <si>
    <t xml:space="preserve">Brandom Agency</t>
  </si>
  <si>
    <t xml:space="preserve">The ache isn’t the evolution. It’s the lack of recognition.   |   Co-Founder Brandom®  |  Creator Known™   |  Identity campaign director for female founders on the verge of something big.</t>
  </si>
  <si>
    <t xml:space="preserve">Denver Metropolitan Area, United States</t>
  </si>
  <si>
    <t xml:space="preserve">http://www.KimCastle.com</t>
  </si>
  <si>
    <t xml:space="preserve">https://www.linkedin.com/in/kimcastle</t>
  </si>
  <si>
    <t xml:space="preserve">2026-09-04 01:09</t>
  </si>
  <si>
    <t xml:space="preserve">William</t>
  </si>
  <si>
    <t xml:space="preserve">Collins</t>
  </si>
  <si>
    <t xml:space="preserve">Partner &amp; Fractional Chief Marketing/Growth Officer</t>
  </si>
  <si>
    <t xml:space="preserve">Chief Outsiders</t>
  </si>
  <si>
    <t xml:space="preserve">Interim Chief Marketing Officer at AdCellerant</t>
  </si>
  <si>
    <t xml:space="preserve">Dallas, Texas, United States</t>
  </si>
  <si>
    <t xml:space="preserve">https://www.chiefoutsiders.com/profile/william-collins</t>
  </si>
  <si>
    <t xml:space="preserve">https://www.linkedin.com/in/william-collins-0096265</t>
  </si>
  <si>
    <t xml:space="preserve">2026-09-07 01:32</t>
  </si>
  <si>
    <t xml:space="preserve">Neil</t>
  </si>
  <si>
    <t xml:space="preserve">Colvin</t>
  </si>
  <si>
    <t xml:space="preserve">Chief Executive Officer</t>
  </si>
  <si>
    <t xml:space="preserve">Columbus Marketing Experts</t>
  </si>
  <si>
    <t xml:space="preserve">Top-Ranked Website Visibility &amp; AI-Driven Growth Systems for Serious Businesses | CEO, Columbus Marketing Experts</t>
  </si>
  <si>
    <t xml:space="preserve">Hilliard, Ohio, United States</t>
  </si>
  <si>
    <t xml:space="preserve">https://columbusmarketingexperts.com/</t>
  </si>
  <si>
    <t xml:space="preserve">https://www.linkedin.com/in/neil-colvin</t>
  </si>
  <si>
    <t xml:space="preserve">2026-09-07 02:06</t>
  </si>
  <si>
    <t xml:space="preserve">Brian</t>
  </si>
  <si>
    <t xml:space="preserve">Critchfield, MBA</t>
  </si>
  <si>
    <t xml:space="preserve">Vice President Marketing</t>
  </si>
  <si>
    <t xml:space="preserve">Nuclearn</t>
  </si>
  <si>
    <t xml:space="preserve">Vice President Marketing at Nuclearn</t>
  </si>
  <si>
    <t xml:space="preserve">Chandler, Arizona, United States</t>
  </si>
  <si>
    <t xml:space="preserve">http://www.cartographydigital.com</t>
  </si>
  <si>
    <t xml:space="preserve">https://www.linkedin.com/in/briancritchfield</t>
  </si>
  <si>
    <t xml:space="preserve">2026-09-07 01:03</t>
  </si>
  <si>
    <t xml:space="preserve">LI IORDANOV</t>
  </si>
  <si>
    <t xml:space="preserve">D.</t>
  </si>
  <si>
    <t xml:space="preserve">Head of Creative</t>
  </si>
  <si>
    <t xml:space="preserve">HOUSE OF JUNE™</t>
  </si>
  <si>
    <t xml:space="preserve">Head of Creative at HOUSE OF JUNE™ | Bridging creative judgment, garment expertise, production experience, and technology to rethink how fashion products are developed and experienced.</t>
  </si>
  <si>
    <t xml:space="preserve">http://www.houseofjune.net</t>
  </si>
  <si>
    <t xml:space="preserve">https://www.linkedin.com/in/liiordanovdan</t>
  </si>
  <si>
    <t xml:space="preserve">2026-09-07 01:19</t>
  </si>
  <si>
    <t xml:space="preserve">Lauren</t>
  </si>
  <si>
    <t xml:space="preserve">Damon</t>
  </si>
  <si>
    <t xml:space="preserve">The Aebli Group</t>
  </si>
  <si>
    <t xml:space="preserve">Co-Founder empowering businesses with innovative marketing strategies</t>
  </si>
  <si>
    <t xml:space="preserve">Auburn, Maine, United States</t>
  </si>
  <si>
    <t xml:space="preserve">aebligroup.com</t>
  </si>
  <si>
    <t xml:space="preserve">https://www.linkedin.com/in/laurendamon</t>
  </si>
  <si>
    <t xml:space="preserve">2026-09-06 01:49</t>
  </si>
  <si>
    <t xml:space="preserve">Kyle</t>
  </si>
  <si>
    <t xml:space="preserve">Duford</t>
  </si>
  <si>
    <t xml:space="preserve">Associate Partner | Director of Client Strategy &amp; Services</t>
  </si>
  <si>
    <t xml:space="preserve">barrettSF</t>
  </si>
  <si>
    <t xml:space="preserve">Brand strategist &amp; professional BS caller @Optimism | I help brands people ignore become brands people buy | Author, The Brand Book | AAF Silver Award</t>
  </si>
  <si>
    <t xml:space="preserve">https://intro.co/kyleduford</t>
  </si>
  <si>
    <t xml:space="preserve">https://www.linkedin.com/in/kyleduford</t>
  </si>
  <si>
    <t xml:space="preserve">2026-09-05 01:17</t>
  </si>
  <si>
    <t xml:space="preserve">Rachel</t>
  </si>
  <si>
    <t xml:space="preserve">Elnar</t>
  </si>
  <si>
    <t xml:space="preserve">President of the Board of Directors</t>
  </si>
  <si>
    <t xml:space="preserve">AIGA Design</t>
  </si>
  <si>
    <t xml:space="preserve">Experience Strategist &amp; Creative Producer | Events, Education &amp; Community | AIGA National President</t>
  </si>
  <si>
    <t xml:space="preserve">Los Angeles Metropolitan Area</t>
  </si>
  <si>
    <t xml:space="preserve">https://www.tiktok.com/@rachandcharbear</t>
  </si>
  <si>
    <t xml:space="preserve">https://www.linkedin.com/in/rachelelnar</t>
  </si>
  <si>
    <t xml:space="preserve">2026-09-06 01:47</t>
  </si>
  <si>
    <t xml:space="preserve">Olivia</t>
  </si>
  <si>
    <t xml:space="preserve">Enriquez</t>
  </si>
  <si>
    <t xml:space="preserve">Co-Founder | Creative Director</t>
  </si>
  <si>
    <t xml:space="preserve">Luna Design International Ltd</t>
  </si>
  <si>
    <t xml:space="preserve">Creative Director @ Luna Design | Package Design, Brand Development Expert</t>
  </si>
  <si>
    <t xml:space="preserve">Las Vegas, Nevada, United States</t>
  </si>
  <si>
    <t xml:space="preserve">www.behance.net/olivenqz</t>
  </si>
  <si>
    <t xml:space="preserve">https://www.linkedin.com/in/oliviaenriquez</t>
  </si>
  <si>
    <t xml:space="preserve">2026-09-03 01:44</t>
  </si>
  <si>
    <t xml:space="preserve">Matt</t>
  </si>
  <si>
    <t xml:space="preserve">Even</t>
  </si>
  <si>
    <t xml:space="preserve">Creative Director | Art Director | previous: Vans, Apple, W+K, Mother</t>
  </si>
  <si>
    <t xml:space="preserve">Santa Monica, California, United States</t>
  </si>
  <si>
    <t xml:space="preserve">http://www.matteven.com</t>
  </si>
  <si>
    <t xml:space="preserve">https://www.linkedin.com/in/matteven</t>
  </si>
  <si>
    <t xml:space="preserve">2026-09-07 01:36</t>
  </si>
  <si>
    <t xml:space="preserve">Santiago</t>
  </si>
  <si>
    <t xml:space="preserve">Faus</t>
  </si>
  <si>
    <t xml:space="preserve">Maribou Partners</t>
  </si>
  <si>
    <t xml:space="preserve">LinkedIn content -​&gt; your best new clients | LinkedIn-led GTM systems | Turning founder stories into revenue | Founder at Maribou | Podcast host | History nerd</t>
  </si>
  <si>
    <t xml:space="preserve">Austin, Texas Metropolitan Area</t>
  </si>
  <si>
    <t xml:space="preserve">Mariboupartners.com</t>
  </si>
  <si>
    <t xml:space="preserve">https://www.linkedin.com/in/ACoAADLnktgBgtDoute23sQQtX7nniXnGgvPe7A</t>
  </si>
  <si>
    <t xml:space="preserve">2026-09-06 01:38</t>
  </si>
  <si>
    <t xml:space="preserve">Colby</t>
  </si>
  <si>
    <t xml:space="preserve">Flood</t>
  </si>
  <si>
    <t xml:space="preserve">Brighter Click</t>
  </si>
  <si>
    <t xml:space="preserve">Growth Marketing | Founder at Brighter Click | Now Hiring</t>
  </si>
  <si>
    <t xml:space="preserve">Raleigh, North Carolina, United States</t>
  </si>
  <si>
    <t xml:space="preserve">https://www.brighterclick.com/?utm_source=LinkedIn&amp;utm_medium=personal-page</t>
  </si>
  <si>
    <t xml:space="preserve">https://www.linkedin.com/in/colby-flood</t>
  </si>
  <si>
    <t xml:space="preserve">2026-09-06 01:24</t>
  </si>
  <si>
    <t xml:space="preserve">Lana</t>
  </si>
  <si>
    <t xml:space="preserve">Goldenberg</t>
  </si>
  <si>
    <t xml:space="preserve">Noxster</t>
  </si>
  <si>
    <t xml:space="preserve">Optimizing campaigns, processes, and talent in the digital marketing world. </t>
  </si>
  <si>
    <t xml:space="preserve">Reno, Nevada, United States</t>
  </si>
  <si>
    <t xml:space="preserve">http://www.LanaGoldenberg.com</t>
  </si>
  <si>
    <t xml:space="preserve">https://www.linkedin.com/in/lanagoldenberg</t>
  </si>
  <si>
    <t xml:space="preserve">2026-09-05 01:12</t>
  </si>
  <si>
    <t xml:space="preserve">Noah</t>
  </si>
  <si>
    <t xml:space="preserve">Goldfarb</t>
  </si>
  <si>
    <t xml:space="preserve">Director of Client Services (SEO)</t>
  </si>
  <si>
    <t xml:space="preserve">Fire&amp;Spark</t>
  </si>
  <si>
    <t xml:space="preserve">Helping Digital Health Brands Scale Organic Patient Acquisition | SEO &amp; AI Search | Fire&amp;Spark | Founder, Digital Health Growth Mastermind | Mensch</t>
  </si>
  <si>
    <t xml:space="preserve">Cambridge, Massachusetts, United States</t>
  </si>
  <si>
    <t xml:space="preserve">https://www.fireandspark.com/</t>
  </si>
  <si>
    <t xml:space="preserve">https://www.linkedin.com/in/noah-goldfarb-673781111</t>
  </si>
  <si>
    <t xml:space="preserve">2026-09-06 01:10</t>
  </si>
  <si>
    <t xml:space="preserve">Shiloe</t>
  </si>
  <si>
    <t xml:space="preserve">Goodliffe</t>
  </si>
  <si>
    <t xml:space="preserve">Porter Pro Media</t>
  </si>
  <si>
    <t xml:space="preserve">Marketing Director at MTN.TOP Snowbikes • Shift from dirt to snow for year round riding 🏔️</t>
  </si>
  <si>
    <t xml:space="preserve">Idaho Falls, Idaho, United States</t>
  </si>
  <si>
    <t xml:space="preserve">https://mtntopsnowbike.com</t>
  </si>
  <si>
    <t xml:space="preserve">https://www.linkedin.com/in/shiloe-goodliffe-29719725a</t>
  </si>
  <si>
    <t xml:space="preserve">2026-09-05 01:06</t>
  </si>
  <si>
    <t xml:space="preserve">Natalie</t>
  </si>
  <si>
    <t xml:space="preserve">Guillou</t>
  </si>
  <si>
    <t xml:space="preserve">Creative Director</t>
  </si>
  <si>
    <t xml:space="preserve">Rosewood Creative</t>
  </si>
  <si>
    <t xml:space="preserve">Freelance Social Creative Director - Entertainment, Fashion, and Brand </t>
  </si>
  <si>
    <t xml:space="preserve">San Francisco Bay Area, United States</t>
  </si>
  <si>
    <t xml:space="preserve">https://natguillou.com</t>
  </si>
  <si>
    <t xml:space="preserve">https://www.linkedin.com/in/natguillou</t>
  </si>
  <si>
    <t xml:space="preserve">2026-09-04 01:19</t>
  </si>
  <si>
    <t xml:space="preserve">August</t>
  </si>
  <si>
    <t xml:space="preserve">Heffner</t>
  </si>
  <si>
    <t xml:space="preserve">Group Executive Creative Director</t>
  </si>
  <si>
    <t xml:space="preserve">Instrument</t>
  </si>
  <si>
    <t xml:space="preserve">Executive Creative Director / Head of Creative Innovation / Brand Systems × Digital Experiences / Building Scalable Design &amp; Marketing Platforms for Global Brands</t>
  </si>
  <si>
    <t xml:space="preserve">Portland, Oregon, United States</t>
  </si>
  <si>
    <t xml:space="preserve">http://www.augustheffner.com</t>
  </si>
  <si>
    <t xml:space="preserve">https://www.linkedin.com/in/augustheffner</t>
  </si>
  <si>
    <t xml:space="preserve">2026-09-07 01:28</t>
  </si>
  <si>
    <t xml:space="preserve">Eric</t>
  </si>
  <si>
    <t xml:space="preserve">Hoffman</t>
  </si>
  <si>
    <t xml:space="preserve">CEO / Director Of Design Services</t>
  </si>
  <si>
    <t xml:space="preserve">REFORM COLLECTIVE ©</t>
  </si>
  <si>
    <t xml:space="preserve">Founder REFORM COLLECTIVE | Award-winning design for B2B, SaaS &amp; startups</t>
  </si>
  <si>
    <t xml:space="preserve">Eagle Mountain, Utah, United States</t>
  </si>
  <si>
    <t xml:space="preserve">http://www.ReformCollective.com</t>
  </si>
  <si>
    <t xml:space="preserve">https://www.linkedin.com/in/kolage</t>
  </si>
  <si>
    <t xml:space="preserve">2026-09-04 01:15</t>
  </si>
  <si>
    <t xml:space="preserve">Ashlyn</t>
  </si>
  <si>
    <t xml:space="preserve">Hughes</t>
  </si>
  <si>
    <t xml:space="preserve">FemFactor Media</t>
  </si>
  <si>
    <t xml:space="preserve">Founder @FemFactor Media | Brand Strategist | Empowering Diverse Entrepreneurs to Build Resilient, Profitable Businesses Through Social Media &amp; Storytelling 🚀</t>
  </si>
  <si>
    <t xml:space="preserve">Port Hueneme, California, United States</t>
  </si>
  <si>
    <t xml:space="preserve">https://femfactormedia.com/</t>
  </si>
  <si>
    <t xml:space="preserve">https://www.linkedin.com/in/ashlynhughes</t>
  </si>
  <si>
    <t xml:space="preserve">2026-09-07 02:08</t>
  </si>
  <si>
    <t xml:space="preserve">Kate</t>
  </si>
  <si>
    <t xml:space="preserve">Jensen</t>
  </si>
  <si>
    <t xml:space="preserve">Senior Art Director</t>
  </si>
  <si>
    <t xml:space="preserve">Gravillis™</t>
  </si>
  <si>
    <t xml:space="preserve">Senior Art Director &amp; Artist</t>
  </si>
  <si>
    <t xml:space="preserve">Minneapolis, Minnesota, United States</t>
  </si>
  <si>
    <t xml:space="preserve">http://www.katejjj.com</t>
  </si>
  <si>
    <t xml:space="preserve">https://www.linkedin.com/in/katelynjensen</t>
  </si>
  <si>
    <t xml:space="preserve">2026-09-05 01:34</t>
  </si>
  <si>
    <t xml:space="preserve">Morgan</t>
  </si>
  <si>
    <t xml:space="preserve">Jurken</t>
  </si>
  <si>
    <t xml:space="preserve">Stream Creative</t>
  </si>
  <si>
    <t xml:space="preserve">Director of Client Services | Driving Strategic Partnerships, Operational Excellence &amp; High-Performing Teams | Client Advocate</t>
  </si>
  <si>
    <t xml:space="preserve">Milwaukee, Wisconsin, United States</t>
  </si>
  <si>
    <t xml:space="preserve">https://www.streamcreative.com/team/morgan-jurken</t>
  </si>
  <si>
    <t xml:space="preserve">https://www.linkedin.com/in/morgan-jurken</t>
  </si>
  <si>
    <t xml:space="preserve">2026-09-06 01:02</t>
  </si>
  <si>
    <t xml:space="preserve">Rajat</t>
  </si>
  <si>
    <t xml:space="preserve">Kapur</t>
  </si>
  <si>
    <t xml:space="preserve">&amp;Marketing</t>
  </si>
  <si>
    <t xml:space="preserve">“I promise I’ve fired more marketing agencies than you have” 
| Shaping the Future of Marketing Leadership | Fractional CMO | GTM Strategy Consulting 
| Advisor | AI Forward | Founder &amp; CEO &amp;Marketing | MBE | #WeRunOnEOS</t>
  </si>
  <si>
    <t xml:space="preserve">Greater Philadelphia, United States</t>
  </si>
  <si>
    <t xml:space="preserve">www.and-marketing.com</t>
  </si>
  <si>
    <t xml:space="preserve">https://www.linkedin.com/in/rkapur105</t>
  </si>
  <si>
    <t xml:space="preserve">2026-09-03 01:41</t>
  </si>
  <si>
    <t xml:space="preserve">Shannon</t>
  </si>
  <si>
    <t xml:space="preserve">Kinney</t>
  </si>
  <si>
    <t xml:space="preserve">Founder, Client Success Officer</t>
  </si>
  <si>
    <t xml:space="preserve">Dream Local Digital</t>
  </si>
  <si>
    <t xml:space="preserve">Founder Dream Local Digital &amp; SkillsBuilder Marketing Coach Program, Women Entrepreneur Advocate, Fractional CMO, Influential Digital Media Exec, Dynamic Keynote Speaker, Boston Business Women Legacy League Member</t>
  </si>
  <si>
    <t xml:space="preserve">Newburyport, Massachusetts, United States</t>
  </si>
  <si>
    <t xml:space="preserve">https://www.facebook.com/shannon.kinney</t>
  </si>
  <si>
    <t xml:space="preserve">https://www.linkedin.com/in/shannonkinney</t>
  </si>
  <si>
    <t xml:space="preserve">2026-09-06 01:54</t>
  </si>
  <si>
    <t xml:space="preserve">Ben</t>
  </si>
  <si>
    <t xml:space="preserve">Kracke, AIA</t>
  </si>
  <si>
    <t xml:space="preserve">Creative and Managing Director</t>
  </si>
  <si>
    <t xml:space="preserve">Rapt Studio</t>
  </si>
  <si>
    <t xml:space="preserve">Culver City, California, United States</t>
  </si>
  <si>
    <t xml:space="preserve">https://www.linkedin.com/in/benkracke</t>
  </si>
  <si>
    <t xml:space="preserve">2026-09-03 01:50</t>
  </si>
  <si>
    <t xml:space="preserve">N'Deye</t>
  </si>
  <si>
    <t xml:space="preserve">M'Baye</t>
  </si>
  <si>
    <t xml:space="preserve">Creative Art Director</t>
  </si>
  <si>
    <t xml:space="preserve">CodouxStudios</t>
  </si>
  <si>
    <t xml:space="preserve">Future Art Director | Editorial Photographer | Savannah College of Art and Design</t>
  </si>
  <si>
    <t xml:space="preserve">https://ndeyembaye.mypixieset.com/?utm_source=ig&amp;utm_medium=social&amp;utm_content=link_in_bio&amp;fbclid=PAZXh0bgNhZW0CMTEAc3J0YwZhcHBfaWQPOTM2NjE5NzQzMzkyNDU5AAGnxiE704pBB5fLJXTOEXdtTcEnuFCFg55E6iUEzq1kR09Hj-oPyAdqCG4mJ_o_aem_ByZ22antQvX_vSt0fUAAZQ</t>
  </si>
  <si>
    <t xml:space="preserve">https://www.linkedin.com/in/ndeyembaye</t>
  </si>
  <si>
    <t xml:space="preserve">2026-09-06 01:50</t>
  </si>
  <si>
    <t xml:space="preserve">Scott David</t>
  </si>
  <si>
    <t xml:space="preserve">Martin</t>
  </si>
  <si>
    <t xml:space="preserve">Wabu Creative</t>
  </si>
  <si>
    <t xml:space="preserve">🧭  Expedition Video Partner · WABU Founder · Adobe MAX speaker · 🇺🇸 · 🇦🇷</t>
  </si>
  <si>
    <t xml:space="preserve">www.wabucreative.com</t>
  </si>
  <si>
    <t xml:space="preserve">https://www.linkedin.com/in/scottdavidmartinvideo</t>
  </si>
  <si>
    <t xml:space="preserve">2026-09-07 01:26</t>
  </si>
  <si>
    <t xml:space="preserve">Giovanni</t>
  </si>
  <si>
    <t xml:space="preserve">Martinez</t>
  </si>
  <si>
    <t xml:space="preserve">Promobile Kitchen</t>
  </si>
  <si>
    <t xml:space="preserve">VP Sales / Co Founder at Promobile</t>
  </si>
  <si>
    <t xml:space="preserve">Brooklyn, New York, United States</t>
  </si>
  <si>
    <t xml:space="preserve">www.promobilemarketing.com</t>
  </si>
  <si>
    <t xml:space="preserve">https://www.linkedin.com/in/giovanni-martinez-7aba8412b</t>
  </si>
  <si>
    <t xml:space="preserve">2026-09-04 01:24</t>
  </si>
  <si>
    <t xml:space="preserve">Julia</t>
  </si>
  <si>
    <t xml:space="preserve">Founder | Editor | Executive Producer | Contract Manager</t>
  </si>
  <si>
    <t xml:space="preserve">LA Sun &amp; Beyond Media</t>
  </si>
  <si>
    <t xml:space="preserve">Contract Manager | Paralegal | Contract Lifecycle Management | Legal Operations | Bilingual (Spanish)</t>
  </si>
  <si>
    <t xml:space="preserve">https://www.linkedin.com/in/julia-juliam</t>
  </si>
  <si>
    <t xml:space="preserve">2026-09-06 01:14</t>
  </si>
  <si>
    <t xml:space="preserve">Randall</t>
  </si>
  <si>
    <t xml:space="preserve">Martínez</t>
  </si>
  <si>
    <t xml:space="preserve">Founder, Creative Director, Art &amp; Design</t>
  </si>
  <si>
    <t xml:space="preserve">Randall Martinez</t>
  </si>
  <si>
    <t xml:space="preserve">I help entrepreneurs and business leaders transform ideas into distinctive brands through strategy, creative direction, thoughtful design, and marketing that creates lasting business value.</t>
  </si>
  <si>
    <t xml:space="preserve">Denver, Colorado, United States</t>
  </si>
  <si>
    <t xml:space="preserve">http://www.randallmartinez.com/</t>
  </si>
  <si>
    <t xml:space="preserve">https://www.linkedin.com/in/randall-martinez</t>
  </si>
  <si>
    <t xml:space="preserve">2026-09-07 01:15</t>
  </si>
  <si>
    <t xml:space="preserve">Madison</t>
  </si>
  <si>
    <t xml:space="preserve">McMaster</t>
  </si>
  <si>
    <t xml:space="preserve">Signal Factory</t>
  </si>
  <si>
    <t xml:space="preserve">Art Director at Signal Factory | Oklahoma State University Alum</t>
  </si>
  <si>
    <t xml:space="preserve">Tulsa Metropolitan Area, United States</t>
  </si>
  <si>
    <t xml:space="preserve">https://madisonmcmaster.com</t>
  </si>
  <si>
    <t xml:space="preserve">https://www.linkedin.com/in/madisonmcmaster</t>
  </si>
  <si>
    <t xml:space="preserve">2026-09-07 02:11</t>
  </si>
  <si>
    <t xml:space="preserve">Clarisse</t>
  </si>
  <si>
    <t xml:space="preserve">Mooney</t>
  </si>
  <si>
    <t xml:space="preserve">Creative Director – Art</t>
  </si>
  <si>
    <t xml:space="preserve">Freelance Creative Director</t>
  </si>
  <si>
    <t xml:space="preserve">http://clarissemooney.com</t>
  </si>
  <si>
    <t xml:space="preserve">https://www.linkedin.com/in/clarisse-mooney</t>
  </si>
  <si>
    <t xml:space="preserve">2026-09-07 02:01</t>
  </si>
  <si>
    <t xml:space="preserve">David</t>
  </si>
  <si>
    <t xml:space="preserve">Nemirov</t>
  </si>
  <si>
    <t xml:space="preserve">Vice President of Client Services</t>
  </si>
  <si>
    <t xml:space="preserve">Mogl (Formerly Ventura Growth)</t>
  </si>
  <si>
    <t xml:space="preserve">VP of Client Services at Mogl </t>
  </si>
  <si>
    <t xml:space="preserve">https://www.linkedin.com/in/david-nemirov-26ba0863</t>
  </si>
  <si>
    <t xml:space="preserve">2026-09-06 01:42</t>
  </si>
  <si>
    <t xml:space="preserve">Spencer</t>
  </si>
  <si>
    <t xml:space="preserve">Ordonez</t>
  </si>
  <si>
    <t xml:space="preserve">Designsteins</t>
  </si>
  <si>
    <t xml:space="preserve">Art Director at Designsteins</t>
  </si>
  <si>
    <t xml:space="preserve">Springdale, Arkansas, United States</t>
  </si>
  <si>
    <t xml:space="preserve">https://www.linkedin.com/in/spencerordonez</t>
  </si>
  <si>
    <t xml:space="preserve">2026-09-07 01:57</t>
  </si>
  <si>
    <t xml:space="preserve">Rehan</t>
  </si>
  <si>
    <t xml:space="preserve">Pallithotungal </t>
  </si>
  <si>
    <t xml:space="preserve">Founder / Creative Director</t>
  </si>
  <si>
    <t xml:space="preserve">Ray Motion Films</t>
  </si>
  <si>
    <t xml:space="preserve">I Help 7-Figure Tax Firms Turn Video Content Into Revenue |  Clients seen on Intuit, ABC, PBS, CBS, GoodRx, &amp; Shark Tank</t>
  </si>
  <si>
    <t xml:space="preserve">Princeton, New Jersey, United States</t>
  </si>
  <si>
    <t xml:space="preserve">https://case-studies-portfolio-gf5saau.gamma.site</t>
  </si>
  <si>
    <t xml:space="preserve">https://www.linkedin.com/in/rehan-pallithotungal-6704231b3</t>
  </si>
  <si>
    <t xml:space="preserve">2026-09-06 01:52</t>
  </si>
  <si>
    <t xml:space="preserve">Alec</t>
  </si>
  <si>
    <t xml:space="preserve">Paul</t>
  </si>
  <si>
    <t xml:space="preserve">SalesBrand</t>
  </si>
  <si>
    <t xml:space="preserve">Founder @ SalesBrand | LinkedIn executive brand and content consultancy | Over half a billion organic LinkedIn views</t>
  </si>
  <si>
    <t xml:space="preserve">Los Angeles, California, United States</t>
  </si>
  <si>
    <t xml:space="preserve">https://www.linkedin.com/in/alecjpaul</t>
  </si>
  <si>
    <t xml:space="preserve">2026-09-07 01:51</t>
  </si>
  <si>
    <t xml:space="preserve">Adam</t>
  </si>
  <si>
    <t xml:space="preserve">Romanski</t>
  </si>
  <si>
    <t xml:space="preserve">Amdian</t>
  </si>
  <si>
    <t xml:space="preserve">Brand + design partner to great companies</t>
  </si>
  <si>
    <t xml:space="preserve">Greater Seattle Area, United States</t>
  </si>
  <si>
    <t xml:space="preserve">http://www.amdian.com</t>
  </si>
  <si>
    <t xml:space="preserve">https://www.linkedin.com/in/adamatamdian</t>
  </si>
  <si>
    <t xml:space="preserve">2026-09-07 01:49</t>
  </si>
  <si>
    <t xml:space="preserve">McCartney</t>
  </si>
  <si>
    <t xml:space="preserve">Rose</t>
  </si>
  <si>
    <t xml:space="preserve">President</t>
  </si>
  <si>
    <t xml:space="preserve">Fractal Forward Ltd.</t>
  </si>
  <si>
    <t xml:space="preserve">Communicator | Community Outreach &amp; Engagement | Advocate for Connection, Creativity, and Change</t>
  </si>
  <si>
    <t xml:space="preserve">Akron, Ohio, United States</t>
  </si>
  <si>
    <t xml:space="preserve">https://www.linkedin.com/in/mccartney-rose-8a55351b3</t>
  </si>
  <si>
    <t xml:space="preserve">2026-09-06 01:34</t>
  </si>
  <si>
    <t xml:space="preserve">Sherehan</t>
  </si>
  <si>
    <t xml:space="preserve">Ross</t>
  </si>
  <si>
    <t xml:space="preserve">AltaDX</t>
  </si>
  <si>
    <t xml:space="preserve">Vice President Marketing at AltaDX</t>
  </si>
  <si>
    <t xml:space="preserve">https://sherehanross.com/</t>
  </si>
  <si>
    <t xml:space="preserve">https://www.linkedin.com/in/sherehanross</t>
  </si>
  <si>
    <t xml:space="preserve">2026-09-07 01:54</t>
  </si>
  <si>
    <t xml:space="preserve">Syed Wahaj</t>
  </si>
  <si>
    <t xml:space="preserve">S.</t>
  </si>
  <si>
    <t xml:space="preserve">CloseCrew Marketing</t>
  </si>
  <si>
    <t xml:space="preserve">We Scale Law Firms &amp; Insurance Agencies </t>
  </si>
  <si>
    <t xml:space="preserve">Pakistan</t>
  </si>
  <si>
    <t xml:space="preserve">www.closecrewmarketing.com</t>
  </si>
  <si>
    <t xml:space="preserve">https://www.linkedin.com/in/syedwahajshah</t>
  </si>
  <si>
    <t xml:space="preserve">2026-09-04 01:29</t>
  </si>
  <si>
    <t xml:space="preserve">Maddie</t>
  </si>
  <si>
    <t xml:space="preserve">Schneider</t>
  </si>
  <si>
    <t xml:space="preserve">Art Director, LaunchPad &amp; CPG</t>
  </si>
  <si>
    <t xml:space="preserve">Mertz Design Inc</t>
  </si>
  <si>
    <t xml:space="preserve">Art Director | Brand Systems, Packaging, Motion &amp; Experiential Design | Strategy-minded, culture-forward creative storyteller | Capricorn</t>
  </si>
  <si>
    <t xml:space="preserve">Cincinnati, Ohio, United States</t>
  </si>
  <si>
    <t xml:space="preserve">madschnei.com</t>
  </si>
  <si>
    <t xml:space="preserve">https://www.linkedin.com/in/madschnei</t>
  </si>
  <si>
    <t xml:space="preserve">2026-09-05 01:31</t>
  </si>
  <si>
    <t xml:space="preserve">Brad</t>
  </si>
  <si>
    <t xml:space="preserve">Smith</t>
  </si>
  <si>
    <t xml:space="preserve">AutomationLinks</t>
  </si>
  <si>
    <t xml:space="preserve">Investor &amp; Entrepreneur. Founder of @AutomationLinks, Nonprofit @PayLente, Host of the Relationship Marketing Podcast.</t>
  </si>
  <si>
    <t xml:space="preserve">Wilmington, North Carolina, United States</t>
  </si>
  <si>
    <t xml:space="preserve">https://www.automationlinks.com</t>
  </si>
  <si>
    <t xml:space="preserve">https://www.linkedin.com/in/hylthlink</t>
  </si>
  <si>
    <t xml:space="preserve">2026-09-07 01:42</t>
  </si>
  <si>
    <t xml:space="preserve">Patrick</t>
  </si>
  <si>
    <t xml:space="preserve">C2 Creative Studio</t>
  </si>
  <si>
    <t xml:space="preserve">I help brands identify their unique positioning, stay relevant and grow with creativity and design.</t>
  </si>
  <si>
    <t xml:space="preserve">La Grange Park, Illinois, United States</t>
  </si>
  <si>
    <t xml:space="preserve">www.WorkWithSmith.com</t>
  </si>
  <si>
    <t xml:space="preserve">https://www.linkedin.com/in/smithdidit</t>
  </si>
  <si>
    <t xml:space="preserve">2026-09-07 01:21</t>
  </si>
  <si>
    <t xml:space="preserve">Jon</t>
  </si>
  <si>
    <t xml:space="preserve">Stamell</t>
  </si>
  <si>
    <t xml:space="preserve">Oomiji Inc.</t>
  </si>
  <si>
    <t xml:space="preserve">Uncover your customers’ emotions, motivations and perceptions. Let them tell you what they do and why. Create experiences based on what they want today and tomorrow to drive deeper engagement.</t>
  </si>
  <si>
    <t xml:space="preserve">http://oomiji.com</t>
  </si>
  <si>
    <t xml:space="preserve">https://www.linkedin.com/in/stamell</t>
  </si>
  <si>
    <t xml:space="preserve">2026-09-03 01:39</t>
  </si>
  <si>
    <t xml:space="preserve">Alex</t>
  </si>
  <si>
    <t xml:space="preserve">Star</t>
  </si>
  <si>
    <t xml:space="preserve">Unreal Digital Group</t>
  </si>
  <si>
    <t xml:space="preserve">Builder of Client Success | Strategy-obsessed Demand Gen expert | Career B2B agency’er | Lover of good humans</t>
  </si>
  <si>
    <t xml:space="preserve">Fort Collins, Colorado, United States</t>
  </si>
  <si>
    <t xml:space="preserve">https://www.linkedin.com/in/alexstar</t>
  </si>
  <si>
    <t xml:space="preserve">2026-09-07 01:38</t>
  </si>
  <si>
    <t xml:space="preserve">Fernanda</t>
  </si>
  <si>
    <t xml:space="preserve">Steinmann</t>
  </si>
  <si>
    <t xml:space="preserve">Creative/Art Director</t>
  </si>
  <si>
    <t xml:space="preserve">Steinmann Studio</t>
  </si>
  <si>
    <t xml:space="preserve">Creative/Art Director | Strategy, Branding, Photography &amp; Video Direction | Luxury Fashion &amp; Lifestyle | Team Mentorship</t>
  </si>
  <si>
    <t xml:space="preserve">https://www.fernandasteinmann.com</t>
  </si>
  <si>
    <t xml:space="preserve">https://www.linkedin.com/in/fsteinmann</t>
  </si>
  <si>
    <t xml:space="preserve">2026-09-07 01:23</t>
  </si>
  <si>
    <t xml:space="preserve">Rich</t>
  </si>
  <si>
    <t xml:space="preserve">Wallace</t>
  </si>
  <si>
    <t xml:space="preserve">Freelance Marketing and Creative Services</t>
  </si>
  <si>
    <t xml:space="preserve">Creative Director / Art Director / Available: freelance</t>
  </si>
  <si>
    <t xml:space="preserve">Berkeley Heights, New Jersey, United States</t>
  </si>
  <si>
    <t xml:space="preserve">richwallace.myportfolio.com</t>
  </si>
  <si>
    <t xml:space="preserve">https://www.linkedin.com/in/rich-wallace-4b2a7a88</t>
  </si>
  <si>
    <t xml:space="preserve">2026-09-07 02:05</t>
  </si>
  <si>
    <t xml:space="preserve">Ashley</t>
  </si>
  <si>
    <t xml:space="preserve">Yusuf</t>
  </si>
  <si>
    <t xml:space="preserve">Client Success Operations Manager</t>
  </si>
  <si>
    <t xml:space="preserve">TriggerPoint Media, Inc.</t>
  </si>
  <si>
    <t xml:space="preserve">Operations Leader | Strategy &amp; Systems | Ex-Meta Creative X</t>
  </si>
  <si>
    <t xml:space="preserve">Austin, Texas, United States</t>
  </si>
  <si>
    <t xml:space="preserve">https://www.linkedin.com/in/ashleyyusuf</t>
  </si>
  <si>
    <t xml:space="preserve">2026-09-05 01:41</t>
  </si>
  <si>
    <t xml:space="preserve">Harun</t>
  </si>
  <si>
    <t xml:space="preserve">Zankel</t>
  </si>
  <si>
    <t xml:space="preserve">Creative Director / Art Director / Designer / Muralist
- Currently Available</t>
  </si>
  <si>
    <t xml:space="preserve">Glen Ridge, New Jersey, United States</t>
  </si>
  <si>
    <t xml:space="preserve">http://www.ha-za.com</t>
  </si>
  <si>
    <t xml:space="preserve">https://www.linkedin.com/in/hzankel</t>
  </si>
  <si>
    <t xml:space="preserve">2026-09-07 01:07</t>
  </si>
  <si>
    <t xml:space="preserve">Bettinna </t>
  </si>
  <si>
    <t xml:space="preserve">ᥫ᭡</t>
  </si>
  <si>
    <t xml:space="preserve">Chief Creative Officer</t>
  </si>
  <si>
    <t xml:space="preserve">Bettymedia®</t>
  </si>
  <si>
    <t xml:space="preserve">Bettymedia® — Making boring illegal. Close the deal with design.</t>
  </si>
  <si>
    <t xml:space="preserve">https://www.bettymedia.com</t>
  </si>
  <si>
    <t xml:space="preserve">https://www.linkedin.com/in/bettinna</t>
  </si>
  <si>
    <t xml:space="preserve">2026-09-07 01:13</t>
  </si>
  <si>
    <t xml:space="preserve">Jesus Argenis</t>
  </si>
  <si>
    <t xml:space="preserve">Alfonzo, MBA</t>
  </si>
  <si>
    <t xml:space="preserve">American Information Technology Artificial Intelligence Leadership</t>
  </si>
  <si>
    <t xml:space="preserve">Founder at American Information Technology Artificial Intelligence Leadership</t>
  </si>
  <si>
    <t xml:space="preserve">Dallas-Fort Worth Metroplex</t>
  </si>
  <si>
    <t xml:space="preserve">https://www.linkedin.com/in/jesus-argenis-alfonzo-innovation-management-technology-creativity-future-futurism</t>
  </si>
  <si>
    <t xml:space="preserve">Queued (no activity)</t>
  </si>
  <si>
    <t xml:space="preserve">Jennica</t>
  </si>
  <si>
    <t xml:space="preserve">Bocchino</t>
  </si>
  <si>
    <t xml:space="preserve">Group Creative Director (Art)</t>
  </si>
  <si>
    <t xml:space="preserve">Notorious111</t>
  </si>
  <si>
    <t xml:space="preserve">Group Creative Director (Art) at Notorious111</t>
  </si>
  <si>
    <t xml:space="preserve">jennica.cargo.site</t>
  </si>
  <si>
    <t xml:space="preserve">https://www.linkedin.com/in/jennicab</t>
  </si>
  <si>
    <t xml:space="preserve">Nei</t>
  </si>
  <si>
    <t xml:space="preserve">Caetano da Silva</t>
  </si>
  <si>
    <t xml:space="preserve">Creative Director / Art Director </t>
  </si>
  <si>
    <t xml:space="preserve">CREATIVE DIRECTOR / ART - CONCEPTUAL &amp; MAKER</t>
  </si>
  <si>
    <t xml:space="preserve">https://charlieandnei.com</t>
  </si>
  <si>
    <t xml:space="preserve">https://www.linkedin.com/in/neicaetano</t>
  </si>
  <si>
    <t xml:space="preserve">Caffera</t>
  </si>
  <si>
    <t xml:space="preserve">Chief Transformation Revenue Officer (CTRO) | Founder</t>
  </si>
  <si>
    <t xml:space="preserve">MyCloudGCS</t>
  </si>
  <si>
    <t xml:space="preserve">Chief Transformation Revenue Officer (CTRO) | Founder at MyCloudGCS</t>
  </si>
  <si>
    <t xml:space="preserve">Greater Orlando, United States</t>
  </si>
  <si>
    <t xml:space="preserve">https://mycloudgcs.com/</t>
  </si>
  <si>
    <t xml:space="preserve">https://www.linkedin.com/in/chriscaffera</t>
  </si>
  <si>
    <t xml:space="preserve">Chung</t>
  </si>
  <si>
    <t xml:space="preserve">Founder &amp; Managing Operator</t>
  </si>
  <si>
    <t xml:space="preserve">Middle Out</t>
  </si>
  <si>
    <t xml:space="preserve">Advisor at Mojo Country Club</t>
  </si>
  <si>
    <t xml:space="preserve">Philadelphia, Pennsylvania, United States</t>
  </si>
  <si>
    <t xml:space="preserve">https://gomiddleout.com</t>
  </si>
  <si>
    <t xml:space="preserve">https://www.linkedin.com/in/thebrianchung</t>
  </si>
  <si>
    <t xml:space="preserve">Cousin</t>
  </si>
  <si>
    <t xml:space="preserve">Mark Cousin</t>
  </si>
  <si>
    <t xml:space="preserve">Fan Fav / Creative Director / Art Director – Advertising / Experiential / Interactive / Branding</t>
  </si>
  <si>
    <t xml:space="preserve">https://www.markcousin.com</t>
  </si>
  <si>
    <t xml:space="preserve">https://www.linkedin.com/in/markcousin</t>
  </si>
  <si>
    <t xml:space="preserve">Scott</t>
  </si>
  <si>
    <t xml:space="preserve">Drucker</t>
  </si>
  <si>
    <t xml:space="preserve">Managing Partner</t>
  </si>
  <si>
    <t xml:space="preserve">The Drucker Group</t>
  </si>
  <si>
    <t xml:space="preserve">I Help Brands Turn Customer Insight into Strategic Growth &amp; Revenue</t>
  </si>
  <si>
    <t xml:space="preserve">Des Plaines, Illinois, United States</t>
  </si>
  <si>
    <t xml:space="preserve">http://www.druckergroup.com</t>
  </si>
  <si>
    <t xml:space="preserve">https://www.linkedin.com/in/scottdrucker</t>
  </si>
  <si>
    <t xml:space="preserve">Naoki</t>
  </si>
  <si>
    <t xml:space="preserve">Ga</t>
  </si>
  <si>
    <t xml:space="preserve">Senior Creative / Art Director</t>
  </si>
  <si>
    <t xml:space="preserve">Senior Art Director at Wieden + Kennedy
//   EMMY'S 2021 - WINNER (Outstanding Commercial)
AdAge Creative of the Year finalist 2022
Featured in AdAge AAPI Creative Excellence series</t>
  </si>
  <si>
    <t xml:space="preserve">https://cargocollective.com/naokiga</t>
  </si>
  <si>
    <t xml:space="preserve">https://www.linkedin.com/in/naoki-ga-39372817</t>
  </si>
  <si>
    <t xml:space="preserve">J. Blake</t>
  </si>
  <si>
    <t xml:space="preserve">Harris</t>
  </si>
  <si>
    <t xml:space="preserve">Art/Creative Director</t>
  </si>
  <si>
    <t xml:space="preserve">Artist, illustrator, designer/developer in DTX. Exiled ad agency creative director.</t>
  </si>
  <si>
    <t xml:space="preserve">https://MOTORCYCL3.com</t>
  </si>
  <si>
    <t xml:space="preserve">https://www.linkedin.com/in/jblakeharris</t>
  </si>
  <si>
    <t xml:space="preserve">Bryan</t>
  </si>
  <si>
    <t xml:space="preserve">Houlette</t>
  </si>
  <si>
    <t xml:space="preserve">Independent Creative Director / Art Director</t>
  </si>
  <si>
    <t xml:space="preserve">Hey There, LLC</t>
  </si>
  <si>
    <t xml:space="preserve">(Available) Freelance Creative Director / Art Director / Human</t>
  </si>
  <si>
    <t xml:space="preserve">http://bryanhoulette.com</t>
  </si>
  <si>
    <t xml:space="preserve">https://www.linkedin.com/in/bryanhoulette</t>
  </si>
  <si>
    <t xml:space="preserve">Hope</t>
  </si>
  <si>
    <t xml:space="preserve">Jordan</t>
  </si>
  <si>
    <t xml:space="preserve">Freelance Art Director/Creative Director</t>
  </si>
  <si>
    <t xml:space="preserve">Freelance Art Director/CD | W+K, Droga5 alum</t>
  </si>
  <si>
    <t xml:space="preserve">http://www.hopejordan.com</t>
  </si>
  <si>
    <t xml:space="preserve">https://www.linkedin.com/in/hopejordan</t>
  </si>
  <si>
    <t xml:space="preserve">Kellie</t>
  </si>
  <si>
    <t xml:space="preserve">Kalvig</t>
  </si>
  <si>
    <t xml:space="preserve">Creative Director | Associate Creative Director | Art Director</t>
  </si>
  <si>
    <t xml:space="preserve">Various Agencies &amp; Direct Clients</t>
  </si>
  <si>
    <t xml:space="preserve">Seattle, Washington, United States</t>
  </si>
  <si>
    <t xml:space="preserve">https://www.linkedin.com/in/kelliekalvig</t>
  </si>
  <si>
    <t xml:space="preserve">Kevin</t>
  </si>
  <si>
    <t xml:space="preserve">Korpi</t>
  </si>
  <si>
    <t xml:space="preserve">Founder &amp; Principal Design Partner</t>
  </si>
  <si>
    <t xml:space="preserve">Hold Fast Studio</t>
  </si>
  <si>
    <t xml:space="preserve">Founder &amp; Principal Design Partner at Hold Fast Studio</t>
  </si>
  <si>
    <t xml:space="preserve">Bend, Oregon, United States</t>
  </si>
  <si>
    <t xml:space="preserve">https://holdfast.studio</t>
  </si>
  <si>
    <t xml:space="preserve">https://www.linkedin.com/in/kevkor</t>
  </si>
  <si>
    <t xml:space="preserve">Renée</t>
  </si>
  <si>
    <t xml:space="preserve">L.</t>
  </si>
  <si>
    <t xml:space="preserve">Principal | Creative/Copy Director | fCMO</t>
  </si>
  <si>
    <t xml:space="preserve">Emergo Consulting &amp; Creative</t>
  </si>
  <si>
    <t xml:space="preserve">Creative Director, Copy/Fractional CMO | Proud Under Armour💪 &amp; Orvis🐟 Alum | Word Architect, Brand Builder, Team Leader &amp; Process Optimizer | Navigator: Chaos --​&gt; Order | Sailor⛵🌎🏝️</t>
  </si>
  <si>
    <t xml:space="preserve">http://ConsultEmergo.com</t>
  </si>
  <si>
    <t xml:space="preserve">https://www.linkedin.com/in/reneelemley</t>
  </si>
  <si>
    <t xml:space="preserve">Linder</t>
  </si>
  <si>
    <t xml:space="preserve">Founder, Creative Director - Art</t>
  </si>
  <si>
    <t xml:space="preserve">this will be good</t>
  </si>
  <si>
    <t xml:space="preserve">Founder, this will be good / Creative Director / Art Director / Graphic Designer / Writer / Creator / AI Filmmaker / Human Songwriter</t>
  </si>
  <si>
    <t xml:space="preserve">http://www.lindersportfolio.com</t>
  </si>
  <si>
    <t xml:space="preserve">https://www.linkedin.com/in/brian-linder-9425063</t>
  </si>
  <si>
    <t xml:space="preserve">Tiff</t>
  </si>
  <si>
    <t xml:space="preserve">McKee</t>
  </si>
  <si>
    <t xml:space="preserve">Freelance Creative/Art Director</t>
  </si>
  <si>
    <t xml:space="preserve">Freelance Creative/Art Director at Freelance</t>
  </si>
  <si>
    <t xml:space="preserve">http://workingnotworking.com/tiffsoverhere</t>
  </si>
  <si>
    <t xml:space="preserve">https://www.linkedin.com/in/tiffmckee</t>
  </si>
  <si>
    <t xml:space="preserve">Marc</t>
  </si>
  <si>
    <t xml:space="preserve">Mintle</t>
  </si>
  <si>
    <t xml:space="preserve">Creative Director / Art Director / Designer</t>
  </si>
  <si>
    <t xml:space="preserve">Mintle Asylum Studio</t>
  </si>
  <si>
    <t xml:space="preserve">Partner / Creative Director  at The Reservoir</t>
  </si>
  <si>
    <t xml:space="preserve">Nate</t>
  </si>
  <si>
    <t xml:space="preserve">Naylor</t>
  </si>
  <si>
    <t xml:space="preserve">FARMER CREATIVE &amp; DESIGN</t>
  </si>
  <si>
    <t xml:space="preserve">www.natenaylor.com</t>
  </si>
  <si>
    <t xml:space="preserve">https://www.linkedin.com/in/nathannaylor</t>
  </si>
  <si>
    <t xml:space="preserve">Christopher</t>
  </si>
  <si>
    <t xml:space="preserve">Nelson</t>
  </si>
  <si>
    <t xml:space="preserve">Freelance Creative Director - Art</t>
  </si>
  <si>
    <t xml:space="preserve">Associate Creative Director at dentsu</t>
  </si>
  <si>
    <t xml:space="preserve">http://christophernelson.co</t>
  </si>
  <si>
    <t xml:space="preserve">https://www.linkedin.com/in/seenelson</t>
  </si>
  <si>
    <t xml:space="preserve">Robyn</t>
  </si>
  <si>
    <t xml:space="preserve">Nissim</t>
  </si>
  <si>
    <t xml:space="preserve">Founder &amp; Facilitator of Social Proof Group Training Programs</t>
  </si>
  <si>
    <t xml:space="preserve">Social Proof Agency</t>
  </si>
  <si>
    <t xml:space="preserve">Creating Revenue Streams from Social Media + Influencer Marketing 📲 I’ve built the largest brands on Social Media &amp; now I’m teaching you how to 🧨💥🚀</t>
  </si>
  <si>
    <t xml:space="preserve">http://robynnissim.com/</t>
  </si>
  <si>
    <t xml:space="preserve">https://www.linkedin.com/in/rnissim</t>
  </si>
  <si>
    <t xml:space="preserve">Reuben</t>
  </si>
  <si>
    <t xml:space="preserve">Orter</t>
  </si>
  <si>
    <t xml:space="preserve">http://reubenorter.com/</t>
  </si>
  <si>
    <t xml:space="preserve">https://www.linkedin.com/in/reubenorter</t>
  </si>
  <si>
    <t xml:space="preserve">Melissa</t>
  </si>
  <si>
    <t xml:space="preserve">Osborne</t>
  </si>
  <si>
    <t xml:space="preserve">Director, Art &amp; Creative Services</t>
  </si>
  <si>
    <t xml:space="preserve">HMT Associates, Inc.</t>
  </si>
  <si>
    <t xml:space="preserve">Associate Art Director at HMT Associates, Inc.</t>
  </si>
  <si>
    <t xml:space="preserve">Cleveland, Ohio, United States</t>
  </si>
  <si>
    <t xml:space="preserve">https://www.linkedin.com/in/melissamccarthyosborne</t>
  </si>
  <si>
    <t xml:space="preserve">Christine</t>
  </si>
  <si>
    <t xml:space="preserve">Petrosky (Barwick)</t>
  </si>
  <si>
    <t xml:space="preserve">Freelance Creative Director &amp; Art Director</t>
  </si>
  <si>
    <t xml:space="preserve">christinepetrosky.com</t>
  </si>
  <si>
    <t xml:space="preserve">https://www.linkedin.com/in/christine-petrosky</t>
  </si>
  <si>
    <t xml:space="preserve">Cindy</t>
  </si>
  <si>
    <t xml:space="preserve">Rosenshein</t>
  </si>
  <si>
    <t xml:space="preserve">Senior Director, Client Relationships</t>
  </si>
  <si>
    <t xml:space="preserve">Pearlfisher</t>
  </si>
  <si>
    <t xml:space="preserve">Senior Leader in Creative Operations &amp; Strategic Partnerships | Educator &amp; Mentor | Mission-Driven Organizations</t>
  </si>
  <si>
    <t xml:space="preserve">New York City Metropolitan Area</t>
  </si>
  <si>
    <t xml:space="preserve">https://www.linkedin.com/in/cindy-rosenshein-4b72ba8</t>
  </si>
  <si>
    <t xml:space="preserve">👁️‍🗨️</t>
  </si>
  <si>
    <t xml:space="preserve">Shai Newaz</t>
  </si>
  <si>
    <t xml:space="preserve">Shai Creates</t>
  </si>
  <si>
    <t xml:space="preserve">Artist • Addict • Activist → Designing revolutionary brands for those obsessed with restoring kindness, healing the earth, and exposing greed.</t>
  </si>
  <si>
    <t xml:space="preserve">Chelan, Washington, United States</t>
  </si>
  <si>
    <t xml:space="preserve">https://www.shaicreates.com</t>
  </si>
  <si>
    <t xml:space="preserve">https://www.linkedin.com/in/shaimoom</t>
  </si>
  <si>
    <t xml:space="preserve">Tim</t>
  </si>
  <si>
    <t xml:space="preserve">Souers</t>
  </si>
  <si>
    <t xml:space="preserve">Self-Employed</t>
  </si>
  <si>
    <t xml:space="preserve">Creative/Art Director at Self-Employed</t>
  </si>
  <si>
    <t xml:space="preserve">Greater Chicago Area, United States</t>
  </si>
  <si>
    <t xml:space="preserve">Tresidder</t>
  </si>
  <si>
    <t xml:space="preserve">Freelance Creative Director/Art Director</t>
  </si>
  <si>
    <t xml:space="preserve">MelissaTresidder.com</t>
  </si>
  <si>
    <t xml:space="preserve">Freelance Creative Director/Art Director/Idea Generator</t>
  </si>
  <si>
    <t xml:space="preserve">melissatresidder.com</t>
  </si>
  <si>
    <t xml:space="preserve">https://www.linkedin.com/in/melissa-tresidder</t>
  </si>
  <si>
    <t xml:space="preserve">Vinny</t>
  </si>
  <si>
    <t xml:space="preserve">Tulley</t>
  </si>
  <si>
    <t xml:space="preserve">Creative Director / Copywriter / Art Director</t>
  </si>
  <si>
    <t xml:space="preserve">Vinny Tulley Advertising</t>
  </si>
  <si>
    <t xml:space="preserve">http://www.vinnytulley.com</t>
  </si>
  <si>
    <t xml:space="preserve">https://www.linkedin.com/in/vinny-tulley-84b27a90</t>
  </si>
  <si>
    <t xml:space="preserve">Rene</t>
  </si>
  <si>
    <t xml:space="preserve">W.</t>
  </si>
  <si>
    <t xml:space="preserve">San Diego Metropolitan Area, United States</t>
  </si>
  <si>
    <t xml:space="preserve">Jae</t>
  </si>
  <si>
    <t xml:space="preserve">Who</t>
  </si>
  <si>
    <t xml:space="preserve">Freelance Creative Director (Art)</t>
  </si>
  <si>
    <t xml:space="preserve">Freelance Creative Director (Art)  -  jaewho.com</t>
  </si>
  <si>
    <t xml:space="preserve">http://www.jaewho.com</t>
  </si>
  <si>
    <t xml:space="preserve">https://www.linkedin.com/in/jaewho</t>
  </si>
  <si>
    <t xml:space="preserve">nicole</t>
  </si>
  <si>
    <t xml:space="preserve">blauw</t>
  </si>
  <si>
    <t xml:space="preserve">Freelance Copywriter / Art Director / Creative Director</t>
  </si>
  <si>
    <t xml:space="preserve">freelance copywriter / art director / creative w+k portland alum</t>
  </si>
  <si>
    <t xml:space="preserve">nblauw.com</t>
  </si>
  <si>
    <t xml:space="preserve">https://www.linkedin.com/in/nblauw</t>
  </si>
  <si>
    <t xml:space="preserve">Moeez</t>
  </si>
  <si>
    <t xml:space="preserve">A.</t>
  </si>
  <si>
    <t xml:space="preserve">Founder &amp; Creative Director </t>
  </si>
  <si>
    <t xml:space="preserve">Creative art</t>
  </si>
  <si>
    <t xml:space="preserve">Senior Brand and Logo Designer | Strategic Graphic Design | 16 Years | 800 Plus Projects | Freelance and Contract</t>
  </si>
  <si>
    <t xml:space="preserve">www.moeezahmed.com</t>
  </si>
  <si>
    <t xml:space="preserve">https://www.linkedin.com/in/moeezahmed85</t>
  </si>
  <si>
    <t xml:space="preserve">Failed</t>
  </si>
  <si>
    <t xml:space="preserve">INVITE_ALREADY_SENT</t>
  </si>
  <si>
    <t xml:space="preserve">2026-09-02 01:35</t>
  </si>
  <si>
    <t xml:space="preserve">CONNECT_ERROR</t>
  </si>
  <si>
    <t xml:space="preserve">Candice</t>
  </si>
  <si>
    <t xml:space="preserve">Anders</t>
  </si>
  <si>
    <t xml:space="preserve">Snowball Print Marketing Inc</t>
  </si>
  <si>
    <t xml:space="preserve">Direct Mail Specialist | Client Services</t>
  </si>
  <si>
    <t xml:space="preserve">https://www.linkedin.com/in/candicesampson</t>
  </si>
  <si>
    <t xml:space="preserve">2026-09-04 01:31</t>
  </si>
  <si>
    <t xml:space="preserve">Bauhs</t>
  </si>
  <si>
    <t xml:space="preserve">Art Director / Creative Director</t>
  </si>
  <si>
    <t xml:space="preserve">Bauhs Creative Group</t>
  </si>
  <si>
    <t xml:space="preserve">Art Director, Web Designer, Graphic Designer, Bauhs Creative Group</t>
  </si>
  <si>
    <t xml:space="preserve">https://www.linkedin.com/in/mark-bauhs</t>
  </si>
  <si>
    <t xml:space="preserve">2026-09-06 01:04</t>
  </si>
  <si>
    <t xml:space="preserve">Brett</t>
  </si>
  <si>
    <t xml:space="preserve">Beaty</t>
  </si>
  <si>
    <t xml:space="preserve">Creative Director/ Art Director </t>
  </si>
  <si>
    <t xml:space="preserve">CALLEN</t>
  </si>
  <si>
    <t xml:space="preserve">Creative Director at CALLEN</t>
  </si>
  <si>
    <t xml:space="preserve">Kirkland, Washington, United States</t>
  </si>
  <si>
    <t xml:space="preserve">www.brettbeaty.com</t>
  </si>
  <si>
    <t xml:space="preserve">https://www.linkedin.com/in/brett-beaty-b17a635</t>
  </si>
  <si>
    <t xml:space="preserve">2026-09-06 01:05</t>
  </si>
  <si>
    <t xml:space="preserve">Anne</t>
  </si>
  <si>
    <t xml:space="preserve">Braunstein</t>
  </si>
  <si>
    <t xml:space="preserve">Lead UX Designer &amp; Founder</t>
  </si>
  <si>
    <t xml:space="preserve">AB Designs</t>
  </si>
  <si>
    <t xml:space="preserve">Design Leadership, Strategy, &amp; User Research // Enterprise Strategy // Responsible AI</t>
  </si>
  <si>
    <t xml:space="preserve">Needham Heights, Massachusetts, United States</t>
  </si>
  <si>
    <t xml:space="preserve">https://www.annebraunstein.com/ab-designs</t>
  </si>
  <si>
    <t xml:space="preserve">https://www.linkedin.com/in/anne-braunstein-72209a1</t>
  </si>
  <si>
    <t xml:space="preserve">2026-09-04 01:13</t>
  </si>
  <si>
    <t xml:space="preserve">John</t>
  </si>
  <si>
    <t xml:space="preserve">Burton</t>
  </si>
  <si>
    <t xml:space="preserve">President &amp; Creative Director</t>
  </si>
  <si>
    <t xml:space="preserve">Echo Design Group</t>
  </si>
  <si>
    <t xml:space="preserve">Principal and Creative Director @ Echo Design Group.  I help companies create beautiful brands and awesome websites. 
</t>
  </si>
  <si>
    <t xml:space="preserve">Darien, Illinois, United States</t>
  </si>
  <si>
    <t xml:space="preserve">http://www.echodesigngroup.com</t>
  </si>
  <si>
    <t xml:space="preserve">https://www.linkedin.com/in/johnpburton</t>
  </si>
  <si>
    <t xml:space="preserve">2026-09-02 01:44</t>
  </si>
  <si>
    <t xml:space="preserve">Calabrese</t>
  </si>
  <si>
    <t xml:space="preserve">Owner / Designer</t>
  </si>
  <si>
    <t xml:space="preserve">Calaco Group</t>
  </si>
  <si>
    <t xml:space="preserve">Creative Direction / UX Architect / Creative Workflow Architect </t>
  </si>
  <si>
    <t xml:space="preserve">Richmond, Michigan, United States</t>
  </si>
  <si>
    <t xml:space="preserve">http://www.calacogroup.com</t>
  </si>
  <si>
    <t xml:space="preserve">https://www.linkedin.com/in/chriscalabrese</t>
  </si>
  <si>
    <t xml:space="preserve">2026-09-04 01:21</t>
  </si>
  <si>
    <t xml:space="preserve">Alana</t>
  </si>
  <si>
    <t xml:space="preserve">Campbell Nehl</t>
  </si>
  <si>
    <t xml:space="preserve">Javelina</t>
  </si>
  <si>
    <t xml:space="preserve">40 Under 40 Phoenix l Clarity Creator l Systems Strategist l Connection Builder l People Developer I Building systems that support people, not barriers</t>
  </si>
  <si>
    <t xml:space="preserve">Phoenix, Arizona, United States</t>
  </si>
  <si>
    <t xml:space="preserve">http://www.visitphoenix.com/index.aspx</t>
  </si>
  <si>
    <t xml:space="preserve">https://www.linkedin.com/in/campbellalana</t>
  </si>
  <si>
    <t xml:space="preserve">2026-09-04 01:26</t>
  </si>
  <si>
    <t xml:space="preserve">Carl</t>
  </si>
  <si>
    <t xml:space="preserve">Cleanthes</t>
  </si>
  <si>
    <t xml:space="preserve">Epic Made</t>
  </si>
  <si>
    <t xml:space="preserve">Animated Marketing and Digital Art for Entertainment and Tech Brands | Founder at Epic Made, Artist, Podcast Host, Artist Advocate, Speaker, WEB3 Enthusiast, and Life-Long Gamer Nerd. 🎮</t>
  </si>
  <si>
    <t xml:space="preserve">Hampton Roads, Virginia Metropolitan Area, United States</t>
  </si>
  <si>
    <t xml:space="preserve">www.colorfulcarl.com</t>
  </si>
  <si>
    <t xml:space="preserve">https://www.linkedin.com/in/cleanthes</t>
  </si>
  <si>
    <t xml:space="preserve">Tova</t>
  </si>
  <si>
    <t xml:space="preserve">Feldheim</t>
  </si>
  <si>
    <t xml:space="preserve">Co-Founder and CEO</t>
  </si>
  <si>
    <t xml:space="preserve">York Effect</t>
  </si>
  <si>
    <t xml:space="preserve">Co-Founder and CEO at York Effect</t>
  </si>
  <si>
    <t xml:space="preserve">www.yorkeffect.com</t>
  </si>
  <si>
    <t xml:space="preserve">https://www.linkedin.com/in/tovafeldheim</t>
  </si>
  <si>
    <t xml:space="preserve">2026-09-02 01:45</t>
  </si>
  <si>
    <t xml:space="preserve">Arthur</t>
  </si>
  <si>
    <t xml:space="preserve">Germain</t>
  </si>
  <si>
    <t xml:space="preserve">Principal &amp; Chief Brandteller</t>
  </si>
  <si>
    <t xml:space="preserve">Brandtelling</t>
  </si>
  <si>
    <t xml:space="preserve">Principal &amp; Chief Brandteller at Brandtelling</t>
  </si>
  <si>
    <t xml:space="preserve">https://brandtelling.com</t>
  </si>
  <si>
    <t xml:space="preserve">https://www.linkedin.com/in/arthurgermain</t>
  </si>
  <si>
    <t xml:space="preserve">2026-09-02 01:39</t>
  </si>
  <si>
    <t xml:space="preserve">Glasgow</t>
  </si>
  <si>
    <t xml:space="preserve">Creative entrepreneur &amp; Founder of Vault49</t>
  </si>
  <si>
    <t xml:space="preserve">Vault49</t>
  </si>
  <si>
    <t xml:space="preserve">Creative entrepreneur &amp; Founder of Vault49 | Co-president of the Pentawards Jury</t>
  </si>
  <si>
    <t xml:space="preserve">http://www.vault49.com</t>
  </si>
  <si>
    <t xml:space="preserve">https://www.linkedin.com/in/john-glasgow-8b0b2336</t>
  </si>
  <si>
    <t xml:space="preserve">2026-09-03 01:05</t>
  </si>
  <si>
    <t xml:space="preserve">Bill</t>
  </si>
  <si>
    <t xml:space="preserve">Goodwin</t>
  </si>
  <si>
    <t xml:space="preserve">Founder </t>
  </si>
  <si>
    <t xml:space="preserve">Goodwin Design Group</t>
  </si>
  <si>
    <t xml:space="preserve">Founder @ Goodwin Group, Goodwin Holdings &amp; Goodwin Design Group | Consultant &amp; Connector | Branding &amp; Design | Advisor, Investor &amp; Board Member | 35+ Years Experience</t>
  </si>
  <si>
    <t xml:space="preserve">http://www.goodwindesigngroup.com</t>
  </si>
  <si>
    <t xml:space="preserve">https://www.linkedin.com/in/billgoodwin</t>
  </si>
  <si>
    <t xml:space="preserve">DISTANCE_NOT_APPLICABLE_FOR_CONNECT</t>
  </si>
  <si>
    <t xml:space="preserve">2026-09-02 01:36</t>
  </si>
  <si>
    <t xml:space="preserve">Heather</t>
  </si>
  <si>
    <t xml:space="preserve">Heddens</t>
  </si>
  <si>
    <t xml:space="preserve">Creative Director at Middle Out</t>
  </si>
  <si>
    <t xml:space="preserve">https://www.linkedin.com/in/heatherheddens</t>
  </si>
  <si>
    <t xml:space="preserve">2026-09-06 01:31</t>
  </si>
  <si>
    <t xml:space="preserve">Laurie</t>
  </si>
  <si>
    <t xml:space="preserve">J.</t>
  </si>
  <si>
    <t xml:space="preserve">Creative Manager</t>
  </si>
  <si>
    <t xml:space="preserve">AIA Effective Promos</t>
  </si>
  <si>
    <t xml:space="preserve">Creative Manager at Effective Promos/Certified Masterson Method Equine Bodyworker</t>
  </si>
  <si>
    <t xml:space="preserve">Webster, Florida, United States</t>
  </si>
  <si>
    <t xml:space="preserve">https://www.linkedin.com/in/laurie-j-296a2a240</t>
  </si>
  <si>
    <t xml:space="preserve">Kasparian</t>
  </si>
  <si>
    <t xml:space="preserve">BOND</t>
  </si>
  <si>
    <t xml:space="preserve">Senior Art Director | Entertainment Marketing, Brand Campaigns, Content &amp; Visual Storytelling</t>
  </si>
  <si>
    <t xml:space="preserve">El Segundo, California, United States</t>
  </si>
  <si>
    <t xml:space="preserve">http://www.akasparian.com</t>
  </si>
  <si>
    <t xml:space="preserve">https://www.linkedin.com/in/akasparian</t>
  </si>
  <si>
    <t xml:space="preserve">2026-09-07 02:03</t>
  </si>
  <si>
    <t xml:space="preserve">Jessica</t>
  </si>
  <si>
    <t xml:space="preserve">Kornblatt Barr, CSM®</t>
  </si>
  <si>
    <t xml:space="preserve">Creative Services &amp; Culture Director</t>
  </si>
  <si>
    <t xml:space="preserve">Interact Brands</t>
  </si>
  <si>
    <t xml:space="preserve">Creative Operations | Creative Process | Servant Leader | UC Berkeley</t>
  </si>
  <si>
    <t xml:space="preserve">https://www.linkedin.com/in/barrjessica</t>
  </si>
  <si>
    <t xml:space="preserve">2026-09-03 01:06</t>
  </si>
  <si>
    <t xml:space="preserve">Kiera</t>
  </si>
  <si>
    <t xml:space="preserve">Lacy</t>
  </si>
  <si>
    <t xml:space="preserve">Workshop</t>
  </si>
  <si>
    <t xml:space="preserve">Director of Client Services </t>
  </si>
  <si>
    <t xml:space="preserve">Saratoga Springs, New York, United States</t>
  </si>
  <si>
    <t xml:space="preserve">https://www.linkedin.com/in/kiera-lacy-14429448</t>
  </si>
  <si>
    <t xml:space="preserve">Kent</t>
  </si>
  <si>
    <t xml:space="preserve">Lewis</t>
  </si>
  <si>
    <t xml:space="preserve">Executive Director</t>
  </si>
  <si>
    <t xml:space="preserve">NextNW</t>
  </si>
  <si>
    <t xml:space="preserve">Executive Director at NextNW</t>
  </si>
  <si>
    <t xml:space="preserve">https://kentjlewis.com/</t>
  </si>
  <si>
    <t xml:space="preserve">https://www.linkedin.com/in/kentlewis</t>
  </si>
  <si>
    <t xml:space="preserve">Tonny</t>
  </si>
  <si>
    <t xml:space="preserve">Ma</t>
  </si>
  <si>
    <t xml:space="preserve">Fractional Design Director</t>
  </si>
  <si>
    <t xml:space="preserve">Olivine Marketing</t>
  </si>
  <si>
    <t xml:space="preserve">Design Studio helping companies become credible through great design | AI &amp; B2B Startups | 4× Founding Designer at SV VC-Backed Companies</t>
  </si>
  <si>
    <t xml:space="preserve">http://www.tonnyma.com/gladly</t>
  </si>
  <si>
    <t xml:space="preserve">https://www.linkedin.com/in/tonnyma</t>
  </si>
  <si>
    <t xml:space="preserve">2026-09-06 01:12</t>
  </si>
  <si>
    <t xml:space="preserve">Marnik</t>
  </si>
  <si>
    <t xml:space="preserve">TALK Creative</t>
  </si>
  <si>
    <t xml:space="preserve">http://www.kernkate.com</t>
  </si>
  <si>
    <t xml:space="preserve">https://www.linkedin.com/in/kdm8531</t>
  </si>
  <si>
    <t xml:space="preserve">2026-09-07 02:04</t>
  </si>
  <si>
    <t xml:space="preserve">Kat</t>
  </si>
  <si>
    <t xml:space="preserve">McCord</t>
  </si>
  <si>
    <t xml:space="preserve">Creative Director &amp; Co-founder</t>
  </si>
  <si>
    <t xml:space="preserve">Thackway McCord</t>
  </si>
  <si>
    <t xml:space="preserve">Creative Director, Thackway McCord</t>
  </si>
  <si>
    <t xml:space="preserve">http://www.thackwaymccord.com</t>
  </si>
  <si>
    <t xml:space="preserve">https://www.linkedin.com/in/kat-mccord-8937036</t>
  </si>
  <si>
    <t xml:space="preserve">McGrew</t>
  </si>
  <si>
    <t xml:space="preserve">Founder, CEO &amp; Chief Strategist</t>
  </si>
  <si>
    <t xml:space="preserve">Everzocial | Digital Marketing Agency</t>
  </si>
  <si>
    <t xml:space="preserve">I help $1M+ home service and elective healthcare businesses turn AI + behavioral science into booked revenue | Founder, Strategos | Fractional CMO</t>
  </si>
  <si>
    <t xml:space="preserve">https://kevinmcgrew.com</t>
  </si>
  <si>
    <t xml:space="preserve">https://www.linkedin.com/in/kevinmcgrew</t>
  </si>
  <si>
    <t xml:space="preserve">2026-09-02 01:41</t>
  </si>
  <si>
    <t xml:space="preserve">Lexi</t>
  </si>
  <si>
    <t xml:space="preserve">The Now Agency</t>
  </si>
  <si>
    <t xml:space="preserve">The Now Agency | Creator led strategy with high performing campaigns</t>
  </si>
  <si>
    <t xml:space="preserve">https://www.linkedin.com/in/leximooney</t>
  </si>
  <si>
    <t xml:space="preserve">2026-09-04 01:06</t>
  </si>
  <si>
    <t xml:space="preserve">Helene</t>
  </si>
  <si>
    <t xml:space="preserve">Parker</t>
  </si>
  <si>
    <t xml:space="preserve">Founder and Host</t>
  </si>
  <si>
    <t xml:space="preserve">Programmatic Digest podcast</t>
  </si>
  <si>
    <t xml:space="preserve">Programmatic Media Expert | DSP Whisperer | Corporate Training | Podcast Host | Speaker | Course Creator | Providing Hands-on Keyboard training to Programmatic ninjas + Adtech unicorn</t>
  </si>
  <si>
    <t xml:space="preserve">heleneparker.com</t>
  </si>
  <si>
    <t xml:space="preserve">https://www.linkedin.com/in/helene-parker</t>
  </si>
  <si>
    <t xml:space="preserve">Patrick, MASI</t>
  </si>
  <si>
    <t xml:space="preserve">Founder &amp; Chief Swag Officer</t>
  </si>
  <si>
    <t xml:space="preserve">KP Innovations</t>
  </si>
  <si>
    <t xml:space="preserve">Founder | Entrepreneur | Chief Swag Officer | Creator of Merch is Media™ | Beyond the Swag Podcast | Emerging Author | Speaker | Helping Brands Transform Promotional Products into Strategic Marketing Assets</t>
  </si>
  <si>
    <t xml:space="preserve">Horsham, Pennsylvania, United States</t>
  </si>
  <si>
    <t xml:space="preserve">www.kpinnovations.us</t>
  </si>
  <si>
    <t xml:space="preserve">https://www.linkedin.com/in/kevin-patrick-masi-513095299</t>
  </si>
  <si>
    <t xml:space="preserve">2026-09-04 01:05</t>
  </si>
  <si>
    <t xml:space="preserve">Jeff</t>
  </si>
  <si>
    <t xml:space="preserve">Perlstein</t>
  </si>
  <si>
    <t xml:space="preserve">Intercross</t>
  </si>
  <si>
    <t xml:space="preserve">Art Director / Creative Director at INTERCROSS</t>
  </si>
  <si>
    <t xml:space="preserve">Greater Asheville, United States</t>
  </si>
  <si>
    <t xml:space="preserve">http://www.jperlstein.com</t>
  </si>
  <si>
    <t xml:space="preserve">https://www.linkedin.com/in/jeff-perlstein-688ba27</t>
  </si>
  <si>
    <t xml:space="preserve">2026-09-06 01:08</t>
  </si>
  <si>
    <t xml:space="preserve">Hector</t>
  </si>
  <si>
    <t xml:space="preserve">Rivera</t>
  </si>
  <si>
    <t xml:space="preserve">VividClone.AI</t>
  </si>
  <si>
    <t xml:space="preserve">CEO, Spanish Leads Now &amp; Vividclone.AI | We Build Proprietary AI Video Systems that Acquire Hispanic B2B Clients at Scale</t>
  </si>
  <si>
    <t xml:space="preserve">http://www.sointernationalent.com</t>
  </si>
  <si>
    <t xml:space="preserve">https://www.linkedin.com/in/hector-rivera5</t>
  </si>
  <si>
    <t xml:space="preserve">Roth</t>
  </si>
  <si>
    <t xml:space="preserve">Built By Roth</t>
  </si>
  <si>
    <t xml:space="preserve">Founder @ Built By Roth | Nonprofit Leadership, Account Management</t>
  </si>
  <si>
    <t xml:space="preserve">East Greenville, Pennsylvania, United States</t>
  </si>
  <si>
    <t xml:space="preserve">http://www.builtbyroth.com</t>
  </si>
  <si>
    <t xml:space="preserve">https://www.linkedin.com/in/builtbyroth</t>
  </si>
  <si>
    <t xml:space="preserve">2026-09-05 01:36</t>
  </si>
  <si>
    <t xml:space="preserve">Agatha</t>
  </si>
  <si>
    <t xml:space="preserve">Smerak</t>
  </si>
  <si>
    <t xml:space="preserve">Chief Executive Officer/Owner</t>
  </si>
  <si>
    <t xml:space="preserve">Element Six Creative Group</t>
  </si>
  <si>
    <t xml:space="preserve">Owner, CEO | Building strong brands • Increasing exposure • Generating a reaction</t>
  </si>
  <si>
    <t xml:space="preserve">e6creative.com</t>
  </si>
  <si>
    <t xml:space="preserve">https://www.linkedin.com/in/agatha-smerak-87370a8a</t>
  </si>
  <si>
    <t xml:space="preserve">2026-09-04 01:34</t>
  </si>
  <si>
    <t xml:space="preserve">Brandon</t>
  </si>
  <si>
    <t xml:space="preserve">Troutman</t>
  </si>
  <si>
    <t xml:space="preserve">Sagefrog Marketing Group, LLC</t>
  </si>
  <si>
    <t xml:space="preserve">Art Director at Sagefrog Marketing Group, LLC</t>
  </si>
  <si>
    <t xml:space="preserve">Harleysville, Pennsylvania, United States</t>
  </si>
  <si>
    <t xml:space="preserve">www.designlure.com</t>
  </si>
  <si>
    <t xml:space="preserve">https://www.linkedin.com/in/brandontroutman</t>
  </si>
  <si>
    <t xml:space="preserve">2026-09-04 01:22</t>
  </si>
  <si>
    <t xml:space="preserve">Kari</t>
  </si>
  <si>
    <t xml:space="preserve">Walker-Higgins, RID</t>
  </si>
  <si>
    <t xml:space="preserve">Co-Founder + Commercial Interior Designer</t>
  </si>
  <si>
    <t xml:space="preserve">workshop studio</t>
  </si>
  <si>
    <t xml:space="preserve">workshopstudio.com</t>
  </si>
  <si>
    <t xml:space="preserve">https://www.linkedin.com/in/kariwalker</t>
  </si>
  <si>
    <t xml:space="preserve">Jeremy</t>
  </si>
  <si>
    <t xml:space="preserve">Wilson</t>
  </si>
  <si>
    <t xml:space="preserve">Director of Creative Services</t>
  </si>
  <si>
    <t xml:space="preserve">Interact</t>
  </si>
  <si>
    <t xml:space="preserve">https://www.linkedin.com/in/jeremywilson16</t>
  </si>
  <si>
    <t xml:space="preserve">2026-09-06 01:22</t>
  </si>
  <si>
    <t xml:space="preserve">Cristy — Dripify campaign 'Gojiberry - Agency' (id 2064892)</t>
  </si>
  <si>
    <t xml:space="preserve">Source: Dripify Open API (/leads, /leads/{id}, /leads/{id}/activity), pulled 2026-09-07 ~08:15 UTC. Status = derived from each lead's activity events (see Leads sheet, 'Event trail').</t>
  </si>
  <si>
    <t xml:space="preserve">Leads</t>
  </si>
  <si>
    <t xml:space="preserve">Warming (post liked)</t>
  </si>
  <si>
    <t xml:space="preserve">Total</t>
  </si>
  <si>
    <t xml:space="preserve">A connection request to this person was already pending from before this campaign (likely the earlier HeyReach outreach) — Dripify cannot send a second one.</t>
  </si>
  <si>
    <t xml:space="preserve">Profile is already a 1st-degree connection or is out of network, so a connect request does not apply.</t>
  </si>
  <si>
    <t xml:space="preserve">Funnel</t>
  </si>
  <si>
    <t xml:space="preserve">Value</t>
  </si>
  <si>
    <t xml:space="preserve">Invites actually sent (Invite sent + Accepted + Replied)</t>
  </si>
  <si>
    <t xml:space="preserve">Acceptance rate (Accepted+Replied / invites sent)</t>
  </si>
  <si>
    <t xml:space="preserve">Reply rate (Replied / invites sent)</t>
  </si>
  <si>
    <t xml:space="preserve">Failure share of all leads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</si>
</sst>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24"/>
    <col collapsed="false" customWidth="true" hidden="false" outlineLevel="0" max="5" min="5" style="0" width="4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38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20"/>
    <col collapsed="false" customWidth="true" hidden="false" outlineLevel="0" max="13" min="13" style="0" width="30"/>
    <col collapsed="false" customWidth="true" hidden="false" outlineLevel="0" max="16" min="14" style="0" width="11"/>
    <col collapsed="false" customWidth="true" hidden="false" outlineLevel="0" max="17" min="17" style="0" width="9"/>
    <col collapsed="false" customWidth="true" hidden="false" outlineLevel="0" max="18" min="18" style="0" width="16"/>
    <col collapsed="false" customWidth="true" hidden="false" outlineLevel="0" max="19" min="19" style="0" width="40"/>
    <col collapsed="false" customWidth="true" hidden="false" outlineLevel="0" max="20" min="20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n">
        <v>1145</v>
      </c>
      <c r="K2" s="2" t="s">
        <v>29</v>
      </c>
      <c r="L2" s="3" t="s">
        <v>15</v>
      </c>
      <c r="M2" s="2"/>
      <c r="N2" s="2" t="s">
        <v>30</v>
      </c>
      <c r="O2" s="2" t="s">
        <v>30</v>
      </c>
      <c r="P2" s="2" t="s">
        <v>31</v>
      </c>
      <c r="Q2" s="2" t="n">
        <v>1</v>
      </c>
      <c r="R2" s="2" t="s">
        <v>32</v>
      </c>
      <c r="S2" s="2" t="s">
        <v>33</v>
      </c>
      <c r="T2" s="2" t="n">
        <v>675568290</v>
      </c>
    </row>
    <row r="3" customFormat="false" ht="15" hidden="false" customHeight="false" outlineLevel="0" collapsed="false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26</v>
      </c>
      <c r="H3" s="2" t="s">
        <v>40</v>
      </c>
      <c r="I3" s="2" t="s">
        <v>41</v>
      </c>
      <c r="J3" s="2" t="n">
        <v>11830</v>
      </c>
      <c r="K3" s="2" t="s">
        <v>42</v>
      </c>
      <c r="L3" s="3" t="s">
        <v>15</v>
      </c>
      <c r="M3" s="2"/>
      <c r="N3" s="2" t="s">
        <v>43</v>
      </c>
      <c r="O3" s="2" t="s">
        <v>44</v>
      </c>
      <c r="P3" s="2" t="s">
        <v>45</v>
      </c>
      <c r="Q3" s="2" t="n">
        <v>2</v>
      </c>
      <c r="R3" s="2" t="s">
        <v>46</v>
      </c>
      <c r="S3" s="2" t="s">
        <v>47</v>
      </c>
      <c r="T3" s="2" t="n">
        <v>675567857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26</v>
      </c>
      <c r="H4" s="2"/>
      <c r="I4" s="2" t="s">
        <v>54</v>
      </c>
      <c r="J4" s="2" t="n">
        <v>1803</v>
      </c>
      <c r="K4" s="2" t="s">
        <v>29</v>
      </c>
      <c r="L4" s="4" t="s">
        <v>14</v>
      </c>
      <c r="M4" s="2"/>
      <c r="N4" s="2" t="s">
        <v>55</v>
      </c>
      <c r="O4" s="2" t="s">
        <v>55</v>
      </c>
      <c r="P4" s="2"/>
      <c r="Q4" s="2" t="n">
        <v>2</v>
      </c>
      <c r="R4" s="2" t="s">
        <v>56</v>
      </c>
      <c r="S4" s="2" t="s">
        <v>57</v>
      </c>
      <c r="T4" s="2" t="n">
        <v>675568273</v>
      </c>
    </row>
    <row r="5" customFormat="false" ht="15" hidden="false" customHeight="false" outlineLevel="0" collapsed="false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26</v>
      </c>
      <c r="H5" s="2"/>
      <c r="I5" s="2" t="s">
        <v>64</v>
      </c>
      <c r="J5" s="2" t="n">
        <v>1030</v>
      </c>
      <c r="K5" s="2" t="s">
        <v>42</v>
      </c>
      <c r="L5" s="4" t="s">
        <v>14</v>
      </c>
      <c r="M5" s="2"/>
      <c r="N5" s="2" t="s">
        <v>30</v>
      </c>
      <c r="O5" s="2" t="s">
        <v>30</v>
      </c>
      <c r="P5" s="2"/>
      <c r="Q5" s="2" t="n">
        <v>2</v>
      </c>
      <c r="R5" s="2" t="s">
        <v>65</v>
      </c>
      <c r="S5" s="2" t="s">
        <v>57</v>
      </c>
      <c r="T5" s="2" t="n">
        <v>675568288</v>
      </c>
    </row>
    <row r="6" customFormat="false" ht="15" hidden="false" customHeight="false" outlineLevel="0" collapsed="false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26</v>
      </c>
      <c r="H6" s="2" t="s">
        <v>72</v>
      </c>
      <c r="I6" s="2" t="s">
        <v>73</v>
      </c>
      <c r="J6" s="2" t="n">
        <v>20711</v>
      </c>
      <c r="K6" s="2" t="s">
        <v>29</v>
      </c>
      <c r="L6" s="4" t="s">
        <v>14</v>
      </c>
      <c r="M6" s="2"/>
      <c r="N6" s="2" t="s">
        <v>44</v>
      </c>
      <c r="O6" s="2" t="s">
        <v>44</v>
      </c>
      <c r="P6" s="2"/>
      <c r="Q6" s="2" t="n">
        <v>2</v>
      </c>
      <c r="R6" s="2" t="s">
        <v>74</v>
      </c>
      <c r="S6" s="2" t="s">
        <v>57</v>
      </c>
      <c r="T6" s="2" t="n">
        <v>675567866</v>
      </c>
    </row>
    <row r="7" customFormat="false" ht="15" hidden="false" customHeight="false" outlineLevel="0" collapsed="false">
      <c r="A7" s="2" t="s">
        <v>75</v>
      </c>
      <c r="B7" s="2" t="s">
        <v>76</v>
      </c>
      <c r="C7" s="2" t="s">
        <v>77</v>
      </c>
      <c r="D7" s="2" t="s">
        <v>78</v>
      </c>
      <c r="E7" s="2" t="s">
        <v>79</v>
      </c>
      <c r="F7" s="2" t="s">
        <v>80</v>
      </c>
      <c r="G7" s="2" t="s">
        <v>26</v>
      </c>
      <c r="H7" s="2" t="s">
        <v>81</v>
      </c>
      <c r="I7" s="2" t="s">
        <v>82</v>
      </c>
      <c r="J7" s="2" t="n">
        <v>4081</v>
      </c>
      <c r="K7" s="2" t="s">
        <v>29</v>
      </c>
      <c r="L7" s="4" t="s">
        <v>14</v>
      </c>
      <c r="M7" s="2"/>
      <c r="N7" s="2" t="s">
        <v>44</v>
      </c>
      <c r="O7" s="2" t="s">
        <v>44</v>
      </c>
      <c r="P7" s="2"/>
      <c r="Q7" s="2" t="n">
        <v>2</v>
      </c>
      <c r="R7" s="2" t="s">
        <v>83</v>
      </c>
      <c r="S7" s="2" t="s">
        <v>57</v>
      </c>
      <c r="T7" s="2" t="n">
        <v>675567859</v>
      </c>
    </row>
    <row r="8" customFormat="false" ht="15" hidden="false" customHeight="false" outlineLevel="0" collapsed="false">
      <c r="A8" s="2" t="s">
        <v>84</v>
      </c>
      <c r="B8" s="2" t="s">
        <v>85</v>
      </c>
      <c r="C8" s="2" t="s">
        <v>86</v>
      </c>
      <c r="D8" s="2" t="s">
        <v>87</v>
      </c>
      <c r="E8" s="2" t="s">
        <v>88</v>
      </c>
      <c r="F8" s="2" t="s">
        <v>89</v>
      </c>
      <c r="G8" s="2" t="s">
        <v>26</v>
      </c>
      <c r="H8" s="2"/>
      <c r="I8" s="2" t="s">
        <v>90</v>
      </c>
      <c r="J8" s="2" t="n">
        <v>1050</v>
      </c>
      <c r="K8" s="2" t="s">
        <v>29</v>
      </c>
      <c r="L8" s="4" t="s">
        <v>14</v>
      </c>
      <c r="M8" s="2"/>
      <c r="N8" s="2" t="s">
        <v>55</v>
      </c>
      <c r="O8" s="2" t="s">
        <v>55</v>
      </c>
      <c r="P8" s="2"/>
      <c r="Q8" s="2" t="n">
        <v>2</v>
      </c>
      <c r="R8" s="2" t="s">
        <v>91</v>
      </c>
      <c r="S8" s="2" t="s">
        <v>57</v>
      </c>
      <c r="T8" s="2" t="n">
        <v>675568284</v>
      </c>
    </row>
    <row r="9" customFormat="false" ht="15" hidden="false" customHeight="false" outlineLevel="0" collapsed="false">
      <c r="A9" s="2" t="s">
        <v>92</v>
      </c>
      <c r="B9" s="2" t="s">
        <v>93</v>
      </c>
      <c r="C9" s="2" t="s">
        <v>22</v>
      </c>
      <c r="D9" s="2" t="s">
        <v>94</v>
      </c>
      <c r="E9" s="2" t="s">
        <v>95</v>
      </c>
      <c r="F9" s="2" t="s">
        <v>26</v>
      </c>
      <c r="G9" s="2" t="s">
        <v>26</v>
      </c>
      <c r="H9" s="2" t="s">
        <v>96</v>
      </c>
      <c r="I9" s="2" t="s">
        <v>97</v>
      </c>
      <c r="J9" s="2" t="n">
        <v>1867</v>
      </c>
      <c r="K9" s="2" t="s">
        <v>29</v>
      </c>
      <c r="L9" s="5" t="s">
        <v>98</v>
      </c>
      <c r="M9" s="2"/>
      <c r="N9" s="2" t="s">
        <v>45</v>
      </c>
      <c r="O9" s="2"/>
      <c r="P9" s="2"/>
      <c r="Q9" s="2" t="n">
        <v>0</v>
      </c>
      <c r="R9" s="2" t="s">
        <v>99</v>
      </c>
      <c r="S9" s="2" t="s">
        <v>100</v>
      </c>
      <c r="T9" s="2" t="n">
        <v>675568691</v>
      </c>
    </row>
    <row r="10" customFormat="false" ht="15" hidden="false" customHeight="false" outlineLevel="0" collapsed="false">
      <c r="A10" s="2" t="s">
        <v>101</v>
      </c>
      <c r="B10" s="2" t="s">
        <v>102</v>
      </c>
      <c r="C10" s="2" t="s">
        <v>103</v>
      </c>
      <c r="D10" s="2" t="s">
        <v>104</v>
      </c>
      <c r="E10" s="2" t="s">
        <v>105</v>
      </c>
      <c r="F10" s="2" t="s">
        <v>106</v>
      </c>
      <c r="G10" s="2" t="s">
        <v>26</v>
      </c>
      <c r="H10" s="2" t="s">
        <v>107</v>
      </c>
      <c r="I10" s="2" t="s">
        <v>108</v>
      </c>
      <c r="J10" s="2" t="n">
        <v>1840</v>
      </c>
      <c r="K10" s="2" t="s">
        <v>42</v>
      </c>
      <c r="L10" s="5" t="s">
        <v>98</v>
      </c>
      <c r="M10" s="2"/>
      <c r="N10" s="2" t="s">
        <v>31</v>
      </c>
      <c r="O10" s="2"/>
      <c r="P10" s="2"/>
      <c r="Q10" s="2" t="n">
        <v>0</v>
      </c>
      <c r="R10" s="2" t="s">
        <v>109</v>
      </c>
      <c r="S10" s="2" t="s">
        <v>110</v>
      </c>
      <c r="T10" s="2" t="n">
        <v>675569160</v>
      </c>
    </row>
    <row r="11" customFormat="false" ht="15" hidden="false" customHeight="false" outlineLevel="0" collapsed="false">
      <c r="A11" s="2" t="s">
        <v>111</v>
      </c>
      <c r="B11" s="2" t="s">
        <v>112</v>
      </c>
      <c r="C11" s="2" t="s">
        <v>113</v>
      </c>
      <c r="D11" s="2" t="s">
        <v>114</v>
      </c>
      <c r="E11" s="2" t="s">
        <v>115</v>
      </c>
      <c r="F11" s="2" t="s">
        <v>116</v>
      </c>
      <c r="G11" s="2" t="s">
        <v>26</v>
      </c>
      <c r="H11" s="2" t="s">
        <v>117</v>
      </c>
      <c r="I11" s="2" t="s">
        <v>118</v>
      </c>
      <c r="J11" s="2" t="n">
        <v>1207</v>
      </c>
      <c r="K11" s="2" t="s">
        <v>29</v>
      </c>
      <c r="L11" s="5" t="s">
        <v>98</v>
      </c>
      <c r="M11" s="2"/>
      <c r="N11" s="2" t="s">
        <v>45</v>
      </c>
      <c r="O11" s="2"/>
      <c r="P11" s="2"/>
      <c r="Q11" s="2" t="n">
        <v>0</v>
      </c>
      <c r="R11" s="2" t="s">
        <v>119</v>
      </c>
      <c r="S11" s="2" t="s">
        <v>100</v>
      </c>
      <c r="T11" s="2" t="n">
        <v>675568690</v>
      </c>
    </row>
    <row r="12" customFormat="false" ht="15" hidden="false" customHeight="false" outlineLevel="0" collapsed="false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124</v>
      </c>
      <c r="F12" s="2" t="s">
        <v>125</v>
      </c>
      <c r="G12" s="2" t="s">
        <v>26</v>
      </c>
      <c r="H12" s="2"/>
      <c r="I12" s="2" t="s">
        <v>126</v>
      </c>
      <c r="J12" s="2" t="n">
        <v>271</v>
      </c>
      <c r="K12" s="2" t="s">
        <v>29</v>
      </c>
      <c r="L12" s="5" t="s">
        <v>98</v>
      </c>
      <c r="M12" s="2"/>
      <c r="N12" s="2" t="s">
        <v>55</v>
      </c>
      <c r="O12" s="2"/>
      <c r="P12" s="2"/>
      <c r="Q12" s="2" t="n">
        <v>0</v>
      </c>
      <c r="R12" s="2" t="s">
        <v>127</v>
      </c>
      <c r="S12" s="2" t="s">
        <v>100</v>
      </c>
      <c r="T12" s="2" t="n">
        <v>675568276</v>
      </c>
    </row>
    <row r="13" customFormat="false" ht="15" hidden="false" customHeight="false" outlineLevel="0" collapsed="false">
      <c r="A13" s="2" t="s">
        <v>128</v>
      </c>
      <c r="B13" s="2" t="s">
        <v>129</v>
      </c>
      <c r="C13" s="2" t="s">
        <v>130</v>
      </c>
      <c r="D13" s="2" t="s">
        <v>131</v>
      </c>
      <c r="E13" s="2" t="s">
        <v>132</v>
      </c>
      <c r="F13" s="2" t="s">
        <v>133</v>
      </c>
      <c r="G13" s="2" t="s">
        <v>26</v>
      </c>
      <c r="H13" s="2" t="s">
        <v>134</v>
      </c>
      <c r="I13" s="2" t="s">
        <v>135</v>
      </c>
      <c r="J13" s="2" t="n">
        <v>19017</v>
      </c>
      <c r="K13" s="2" t="s">
        <v>42</v>
      </c>
      <c r="L13" s="5" t="s">
        <v>98</v>
      </c>
      <c r="M13" s="2"/>
      <c r="N13" s="2" t="s">
        <v>45</v>
      </c>
      <c r="O13" s="2"/>
      <c r="P13" s="2"/>
      <c r="Q13" s="2" t="n">
        <v>0</v>
      </c>
      <c r="R13" s="2" t="s">
        <v>136</v>
      </c>
      <c r="S13" s="2" t="s">
        <v>100</v>
      </c>
      <c r="T13" s="2" t="n">
        <v>675568695</v>
      </c>
    </row>
    <row r="14" customFormat="false" ht="15" hidden="false" customHeight="false" outlineLevel="0" collapsed="false">
      <c r="A14" s="2" t="s">
        <v>137</v>
      </c>
      <c r="B14" s="2" t="s">
        <v>138</v>
      </c>
      <c r="C14" s="2" t="s">
        <v>139</v>
      </c>
      <c r="D14" s="2" t="s">
        <v>140</v>
      </c>
      <c r="E14" s="2" t="s">
        <v>141</v>
      </c>
      <c r="F14" s="2" t="s">
        <v>142</v>
      </c>
      <c r="G14" s="2" t="s">
        <v>26</v>
      </c>
      <c r="H14" s="2"/>
      <c r="I14" s="2" t="s">
        <v>143</v>
      </c>
      <c r="J14" s="2" t="n">
        <v>677</v>
      </c>
      <c r="K14" s="2" t="s">
        <v>42</v>
      </c>
      <c r="L14" s="5" t="s">
        <v>98</v>
      </c>
      <c r="M14" s="2"/>
      <c r="N14" s="2" t="s">
        <v>45</v>
      </c>
      <c r="O14" s="2"/>
      <c r="P14" s="2"/>
      <c r="Q14" s="2" t="n">
        <v>0</v>
      </c>
      <c r="R14" s="2" t="s">
        <v>144</v>
      </c>
      <c r="S14" s="2" t="s">
        <v>100</v>
      </c>
      <c r="T14" s="2" t="n">
        <v>675568680</v>
      </c>
    </row>
    <row r="15" customFormat="false" ht="15" hidden="false" customHeight="false" outlineLevel="0" collapsed="false">
      <c r="A15" s="2" t="s">
        <v>145</v>
      </c>
      <c r="B15" s="2" t="s">
        <v>146</v>
      </c>
      <c r="C15" s="2" t="s">
        <v>60</v>
      </c>
      <c r="D15" s="2" t="s">
        <v>147</v>
      </c>
      <c r="E15" s="2" t="s">
        <v>60</v>
      </c>
      <c r="F15" s="2" t="s">
        <v>26</v>
      </c>
      <c r="G15" s="2" t="s">
        <v>26</v>
      </c>
      <c r="H15" s="2"/>
      <c r="I15" s="2" t="s">
        <v>148</v>
      </c>
      <c r="J15" s="2" t="n">
        <v>222</v>
      </c>
      <c r="K15" s="2" t="s">
        <v>29</v>
      </c>
      <c r="L15" s="5" t="s">
        <v>98</v>
      </c>
      <c r="M15" s="2"/>
      <c r="N15" s="2" t="s">
        <v>30</v>
      </c>
      <c r="O15" s="2"/>
      <c r="P15" s="2"/>
      <c r="Q15" s="2" t="n">
        <v>0</v>
      </c>
      <c r="R15" s="2" t="s">
        <v>149</v>
      </c>
      <c r="S15" s="2" t="s">
        <v>100</v>
      </c>
      <c r="T15" s="2" t="n">
        <v>675568291</v>
      </c>
    </row>
    <row r="16" customFormat="false" ht="15" hidden="false" customHeight="false" outlineLevel="0" collapsed="false">
      <c r="A16" s="2" t="s">
        <v>150</v>
      </c>
      <c r="B16" s="2" t="s">
        <v>151</v>
      </c>
      <c r="C16" s="2" t="s">
        <v>103</v>
      </c>
      <c r="D16" s="2" t="s">
        <v>152</v>
      </c>
      <c r="E16" s="2" t="s">
        <v>153</v>
      </c>
      <c r="F16" s="2" t="s">
        <v>154</v>
      </c>
      <c r="G16" s="2" t="s">
        <v>26</v>
      </c>
      <c r="H16" s="2" t="s">
        <v>155</v>
      </c>
      <c r="I16" s="2" t="s">
        <v>156</v>
      </c>
      <c r="J16" s="2" t="n">
        <v>1874</v>
      </c>
      <c r="K16" s="2" t="s">
        <v>29</v>
      </c>
      <c r="L16" s="5" t="s">
        <v>98</v>
      </c>
      <c r="M16" s="2"/>
      <c r="N16" s="2" t="s">
        <v>31</v>
      </c>
      <c r="O16" s="2"/>
      <c r="P16" s="2"/>
      <c r="Q16" s="2" t="n">
        <v>0</v>
      </c>
      <c r="R16" s="2" t="s">
        <v>157</v>
      </c>
      <c r="S16" s="2" t="s">
        <v>110</v>
      </c>
      <c r="T16" s="2" t="n">
        <v>675569165</v>
      </c>
    </row>
    <row r="17" customFormat="false" ht="15" hidden="false" customHeight="false" outlineLevel="0" collapsed="false">
      <c r="A17" s="2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2" t="s">
        <v>26</v>
      </c>
      <c r="H17" s="2" t="s">
        <v>164</v>
      </c>
      <c r="I17" s="2" t="s">
        <v>165</v>
      </c>
      <c r="J17" s="2" t="n">
        <v>1838</v>
      </c>
      <c r="K17" s="2" t="s">
        <v>42</v>
      </c>
      <c r="L17" s="5" t="s">
        <v>98</v>
      </c>
      <c r="M17" s="2"/>
      <c r="N17" s="2" t="s">
        <v>31</v>
      </c>
      <c r="O17" s="2"/>
      <c r="P17" s="2"/>
      <c r="Q17" s="2" t="n">
        <v>0</v>
      </c>
      <c r="R17" s="2" t="s">
        <v>166</v>
      </c>
      <c r="S17" s="2" t="s">
        <v>110</v>
      </c>
      <c r="T17" s="2" t="n">
        <v>675569164</v>
      </c>
    </row>
    <row r="18" customFormat="false" ht="15" hidden="false" customHeight="false" outlineLevel="0" collapsed="false">
      <c r="A18" s="2" t="s">
        <v>167</v>
      </c>
      <c r="B18" s="2" t="s">
        <v>168</v>
      </c>
      <c r="C18" s="2" t="s">
        <v>169</v>
      </c>
      <c r="D18" s="2" t="s">
        <v>170</v>
      </c>
      <c r="E18" s="2" t="s">
        <v>171</v>
      </c>
      <c r="F18" s="2" t="s">
        <v>163</v>
      </c>
      <c r="G18" s="2" t="s">
        <v>26</v>
      </c>
      <c r="H18" s="2" t="s">
        <v>172</v>
      </c>
      <c r="I18" s="2" t="s">
        <v>173</v>
      </c>
      <c r="J18" s="2" t="n">
        <v>1934</v>
      </c>
      <c r="K18" s="2" t="s">
        <v>29</v>
      </c>
      <c r="L18" s="5" t="s">
        <v>98</v>
      </c>
      <c r="M18" s="2"/>
      <c r="N18" s="2" t="s">
        <v>30</v>
      </c>
      <c r="O18" s="2"/>
      <c r="P18" s="2"/>
      <c r="Q18" s="2" t="n">
        <v>0</v>
      </c>
      <c r="R18" s="2" t="s">
        <v>174</v>
      </c>
      <c r="S18" s="2" t="s">
        <v>100</v>
      </c>
      <c r="T18" s="2" t="n">
        <v>675568679</v>
      </c>
    </row>
    <row r="19" customFormat="false" ht="15" hidden="false" customHeight="false" outlineLevel="0" collapsed="false">
      <c r="A19" s="2" t="s">
        <v>175</v>
      </c>
      <c r="B19" s="2" t="s">
        <v>176</v>
      </c>
      <c r="C19" s="2" t="s">
        <v>177</v>
      </c>
      <c r="D19" s="2" t="s">
        <v>178</v>
      </c>
      <c r="E19" s="2" t="s">
        <v>179</v>
      </c>
      <c r="F19" s="2" t="s">
        <v>180</v>
      </c>
      <c r="G19" s="2" t="s">
        <v>26</v>
      </c>
      <c r="H19" s="2" t="s">
        <v>181</v>
      </c>
      <c r="I19" s="2" t="s">
        <v>182</v>
      </c>
      <c r="J19" s="2" t="n">
        <v>1114</v>
      </c>
      <c r="K19" s="2" t="s">
        <v>29</v>
      </c>
      <c r="L19" s="5" t="s">
        <v>98</v>
      </c>
      <c r="M19" s="2"/>
      <c r="N19" s="2" t="s">
        <v>31</v>
      </c>
      <c r="O19" s="2"/>
      <c r="P19" s="2"/>
      <c r="Q19" s="2" t="n">
        <v>0</v>
      </c>
      <c r="R19" s="2" t="s">
        <v>183</v>
      </c>
      <c r="S19" s="2" t="s">
        <v>110</v>
      </c>
      <c r="T19" s="2" t="n">
        <v>675569157</v>
      </c>
    </row>
    <row r="20" customFormat="false" ht="15" hidden="false" customHeight="false" outlineLevel="0" collapsed="false">
      <c r="A20" s="2" t="s">
        <v>184</v>
      </c>
      <c r="B20" s="2" t="s">
        <v>185</v>
      </c>
      <c r="C20" s="2" t="s">
        <v>186</v>
      </c>
      <c r="D20" s="2" t="s">
        <v>187</v>
      </c>
      <c r="E20" s="2" t="s">
        <v>188</v>
      </c>
      <c r="F20" s="2" t="s">
        <v>189</v>
      </c>
      <c r="G20" s="2" t="s">
        <v>26</v>
      </c>
      <c r="H20" s="2" t="s">
        <v>190</v>
      </c>
      <c r="I20" s="2" t="s">
        <v>191</v>
      </c>
      <c r="J20" s="2" t="n">
        <v>1056</v>
      </c>
      <c r="K20" s="2" t="s">
        <v>29</v>
      </c>
      <c r="L20" s="5" t="s">
        <v>98</v>
      </c>
      <c r="M20" s="2"/>
      <c r="N20" s="2" t="s">
        <v>44</v>
      </c>
      <c r="O20" s="2"/>
      <c r="P20" s="2"/>
      <c r="Q20" s="2" t="n">
        <v>0</v>
      </c>
      <c r="R20" s="2" t="s">
        <v>192</v>
      </c>
      <c r="S20" s="2" t="s">
        <v>100</v>
      </c>
      <c r="T20" s="2" t="n">
        <v>675567860</v>
      </c>
    </row>
    <row r="21" customFormat="false" ht="15" hidden="false" customHeight="false" outlineLevel="0" collapsed="false">
      <c r="A21" s="2" t="s">
        <v>193</v>
      </c>
      <c r="B21" s="2" t="s">
        <v>194</v>
      </c>
      <c r="C21" s="2" t="s">
        <v>195</v>
      </c>
      <c r="D21" s="2" t="s">
        <v>196</v>
      </c>
      <c r="E21" s="2" t="s">
        <v>197</v>
      </c>
      <c r="F21" s="2" t="s">
        <v>198</v>
      </c>
      <c r="G21" s="2" t="s">
        <v>26</v>
      </c>
      <c r="H21" s="2" t="s">
        <v>199</v>
      </c>
      <c r="I21" s="2" t="s">
        <v>200</v>
      </c>
      <c r="J21" s="2" t="n">
        <v>5377</v>
      </c>
      <c r="K21" s="2" t="s">
        <v>42</v>
      </c>
      <c r="L21" s="5" t="s">
        <v>98</v>
      </c>
      <c r="M21" s="2"/>
      <c r="N21" s="2" t="s">
        <v>31</v>
      </c>
      <c r="O21" s="2"/>
      <c r="P21" s="2"/>
      <c r="Q21" s="2" t="n">
        <v>0</v>
      </c>
      <c r="R21" s="2" t="s">
        <v>201</v>
      </c>
      <c r="S21" s="2" t="s">
        <v>110</v>
      </c>
      <c r="T21" s="2" t="n">
        <v>675569162</v>
      </c>
    </row>
    <row r="22" customFormat="false" ht="15" hidden="false" customHeight="false" outlineLevel="0" collapsed="false">
      <c r="A22" s="2" t="s">
        <v>202</v>
      </c>
      <c r="B22" s="2" t="s">
        <v>203</v>
      </c>
      <c r="C22" s="2" t="s">
        <v>204</v>
      </c>
      <c r="D22" s="2" t="s">
        <v>205</v>
      </c>
      <c r="E22" s="2" t="s">
        <v>206</v>
      </c>
      <c r="F22" s="2" t="s">
        <v>207</v>
      </c>
      <c r="G22" s="2" t="s">
        <v>26</v>
      </c>
      <c r="H22" s="2" t="s">
        <v>208</v>
      </c>
      <c r="I22" s="2" t="s">
        <v>209</v>
      </c>
      <c r="J22" s="2" t="n">
        <v>10399</v>
      </c>
      <c r="K22" s="2" t="s">
        <v>42</v>
      </c>
      <c r="L22" s="5" t="s">
        <v>98</v>
      </c>
      <c r="M22" s="2"/>
      <c r="N22" s="2" t="s">
        <v>31</v>
      </c>
      <c r="O22" s="2"/>
      <c r="P22" s="2"/>
      <c r="Q22" s="2" t="n">
        <v>0</v>
      </c>
      <c r="R22" s="2" t="s">
        <v>210</v>
      </c>
      <c r="S22" s="2" t="s">
        <v>110</v>
      </c>
      <c r="T22" s="2" t="n">
        <v>675569176</v>
      </c>
    </row>
    <row r="23" customFormat="false" ht="15" hidden="false" customHeight="false" outlineLevel="0" collapsed="false">
      <c r="A23" s="2" t="s">
        <v>211</v>
      </c>
      <c r="B23" s="2" t="s">
        <v>212</v>
      </c>
      <c r="C23" s="2" t="s">
        <v>213</v>
      </c>
      <c r="D23" s="2" t="s">
        <v>214</v>
      </c>
      <c r="E23" s="2" t="s">
        <v>215</v>
      </c>
      <c r="F23" s="2" t="s">
        <v>216</v>
      </c>
      <c r="G23" s="2" t="s">
        <v>26</v>
      </c>
      <c r="H23" s="2" t="s">
        <v>217</v>
      </c>
      <c r="I23" s="2" t="s">
        <v>218</v>
      </c>
      <c r="J23" s="2" t="n">
        <v>10853</v>
      </c>
      <c r="K23" s="2" t="s">
        <v>29</v>
      </c>
      <c r="L23" s="5" t="s">
        <v>98</v>
      </c>
      <c r="M23" s="2"/>
      <c r="N23" s="2" t="s">
        <v>31</v>
      </c>
      <c r="O23" s="2"/>
      <c r="P23" s="2"/>
      <c r="Q23" s="2" t="n">
        <v>0</v>
      </c>
      <c r="R23" s="2" t="s">
        <v>219</v>
      </c>
      <c r="S23" s="2" t="s">
        <v>110</v>
      </c>
      <c r="T23" s="2" t="n">
        <v>675569155</v>
      </c>
    </row>
    <row r="24" customFormat="false" ht="15" hidden="false" customHeight="false" outlineLevel="0" collapsed="false">
      <c r="A24" s="2" t="s">
        <v>220</v>
      </c>
      <c r="B24" s="2" t="s">
        <v>221</v>
      </c>
      <c r="C24" s="2" t="s">
        <v>222</v>
      </c>
      <c r="D24" s="2" t="s">
        <v>223</v>
      </c>
      <c r="E24" s="2" t="s">
        <v>224</v>
      </c>
      <c r="F24" s="2" t="s">
        <v>26</v>
      </c>
      <c r="G24" s="2" t="s">
        <v>26</v>
      </c>
      <c r="H24" s="2" t="s">
        <v>225</v>
      </c>
      <c r="I24" s="2" t="s">
        <v>226</v>
      </c>
      <c r="J24" s="2" t="n">
        <v>1163</v>
      </c>
      <c r="K24" s="2" t="s">
        <v>29</v>
      </c>
      <c r="L24" s="5" t="s">
        <v>98</v>
      </c>
      <c r="M24" s="2"/>
      <c r="N24" s="2" t="s">
        <v>45</v>
      </c>
      <c r="O24" s="2"/>
      <c r="P24" s="2"/>
      <c r="Q24" s="2" t="n">
        <v>0</v>
      </c>
      <c r="R24" s="2" t="s">
        <v>227</v>
      </c>
      <c r="S24" s="2" t="s">
        <v>100</v>
      </c>
      <c r="T24" s="2" t="n">
        <v>675568686</v>
      </c>
    </row>
    <row r="25" customFormat="false" ht="15" hidden="false" customHeight="false" outlineLevel="0" collapsed="false">
      <c r="A25" s="2" t="s">
        <v>228</v>
      </c>
      <c r="B25" s="2" t="s">
        <v>229</v>
      </c>
      <c r="C25" s="2" t="s">
        <v>50</v>
      </c>
      <c r="D25" s="2" t="s">
        <v>230</v>
      </c>
      <c r="E25" s="2" t="s">
        <v>231</v>
      </c>
      <c r="F25" s="2" t="s">
        <v>232</v>
      </c>
      <c r="G25" s="2" t="s">
        <v>26</v>
      </c>
      <c r="H25" s="2" t="s">
        <v>233</v>
      </c>
      <c r="I25" s="2" t="s">
        <v>234</v>
      </c>
      <c r="J25" s="2" t="n">
        <v>978</v>
      </c>
      <c r="K25" s="2" t="s">
        <v>42</v>
      </c>
      <c r="L25" s="5" t="s">
        <v>98</v>
      </c>
      <c r="M25" s="2"/>
      <c r="N25" s="2" t="s">
        <v>45</v>
      </c>
      <c r="O25" s="2"/>
      <c r="P25" s="2"/>
      <c r="Q25" s="2" t="n">
        <v>0</v>
      </c>
      <c r="R25" s="2" t="s">
        <v>235</v>
      </c>
      <c r="S25" s="2" t="s">
        <v>110</v>
      </c>
      <c r="T25" s="2" t="n">
        <v>675568697</v>
      </c>
    </row>
    <row r="26" customFormat="false" ht="15" hidden="false" customHeight="false" outlineLevel="0" collapsed="false">
      <c r="A26" s="2" t="s">
        <v>236</v>
      </c>
      <c r="B26" s="2" t="s">
        <v>237</v>
      </c>
      <c r="C26" s="2" t="s">
        <v>238</v>
      </c>
      <c r="D26" s="2" t="s">
        <v>239</v>
      </c>
      <c r="E26" s="2" t="s">
        <v>240</v>
      </c>
      <c r="F26" s="2" t="s">
        <v>154</v>
      </c>
      <c r="G26" s="2" t="s">
        <v>26</v>
      </c>
      <c r="H26" s="2" t="s">
        <v>241</v>
      </c>
      <c r="I26" s="2" t="s">
        <v>242</v>
      </c>
      <c r="J26" s="2" t="n">
        <v>4426</v>
      </c>
      <c r="K26" s="2" t="s">
        <v>42</v>
      </c>
      <c r="L26" s="5" t="s">
        <v>98</v>
      </c>
      <c r="M26" s="2"/>
      <c r="N26" s="2" t="s">
        <v>55</v>
      </c>
      <c r="O26" s="2"/>
      <c r="P26" s="2"/>
      <c r="Q26" s="2" t="n">
        <v>0</v>
      </c>
      <c r="R26" s="2" t="s">
        <v>243</v>
      </c>
      <c r="S26" s="2" t="s">
        <v>100</v>
      </c>
      <c r="T26" s="2" t="n">
        <v>675568272</v>
      </c>
    </row>
    <row r="27" customFormat="false" ht="15" hidden="false" customHeight="false" outlineLevel="0" collapsed="false">
      <c r="A27" s="2" t="s">
        <v>244</v>
      </c>
      <c r="B27" s="2" t="s">
        <v>245</v>
      </c>
      <c r="C27" s="2" t="s">
        <v>246</v>
      </c>
      <c r="D27" s="2" t="s">
        <v>247</v>
      </c>
      <c r="E27" s="2" t="s">
        <v>248</v>
      </c>
      <c r="F27" s="2" t="s">
        <v>249</v>
      </c>
      <c r="G27" s="2" t="s">
        <v>26</v>
      </c>
      <c r="H27" s="2" t="s">
        <v>250</v>
      </c>
      <c r="I27" s="2" t="s">
        <v>251</v>
      </c>
      <c r="J27" s="2" t="n">
        <v>13239</v>
      </c>
      <c r="K27" s="2" t="s">
        <v>42</v>
      </c>
      <c r="L27" s="5" t="s">
        <v>98</v>
      </c>
      <c r="M27" s="2"/>
      <c r="N27" s="2" t="s">
        <v>30</v>
      </c>
      <c r="O27" s="2"/>
      <c r="P27" s="2"/>
      <c r="Q27" s="2" t="n">
        <v>0</v>
      </c>
      <c r="R27" s="2" t="s">
        <v>252</v>
      </c>
      <c r="S27" s="2" t="s">
        <v>100</v>
      </c>
      <c r="T27" s="2" t="n">
        <v>675568678</v>
      </c>
    </row>
    <row r="28" customFormat="false" ht="15" hidden="false" customHeight="false" outlineLevel="0" collapsed="false">
      <c r="A28" s="2" t="s">
        <v>253</v>
      </c>
      <c r="B28" s="2" t="s">
        <v>254</v>
      </c>
      <c r="C28" s="2" t="s">
        <v>255</v>
      </c>
      <c r="D28" s="2" t="s">
        <v>256</v>
      </c>
      <c r="E28" s="2" t="s">
        <v>257</v>
      </c>
      <c r="F28" s="2" t="s">
        <v>258</v>
      </c>
      <c r="G28" s="2" t="s">
        <v>26</v>
      </c>
      <c r="H28" s="2" t="s">
        <v>259</v>
      </c>
      <c r="I28" s="2" t="s">
        <v>260</v>
      </c>
      <c r="J28" s="2" t="n">
        <v>1206</v>
      </c>
      <c r="K28" s="2" t="s">
        <v>29</v>
      </c>
      <c r="L28" s="5" t="s">
        <v>98</v>
      </c>
      <c r="M28" s="2"/>
      <c r="N28" s="2" t="s">
        <v>43</v>
      </c>
      <c r="O28" s="2"/>
      <c r="P28" s="2"/>
      <c r="Q28" s="2" t="n">
        <v>0</v>
      </c>
      <c r="R28" s="2" t="s">
        <v>261</v>
      </c>
      <c r="S28" s="2" t="s">
        <v>100</v>
      </c>
      <c r="T28" s="2" t="n">
        <v>675567853</v>
      </c>
    </row>
    <row r="29" customFormat="false" ht="15" hidden="false" customHeight="false" outlineLevel="0" collapsed="false">
      <c r="A29" s="2" t="s">
        <v>262</v>
      </c>
      <c r="B29" s="2" t="s">
        <v>263</v>
      </c>
      <c r="C29" s="2" t="s">
        <v>103</v>
      </c>
      <c r="D29" s="2" t="s">
        <v>104</v>
      </c>
      <c r="E29" s="2" t="s">
        <v>264</v>
      </c>
      <c r="F29" s="2" t="s">
        <v>265</v>
      </c>
      <c r="G29" s="2" t="s">
        <v>26</v>
      </c>
      <c r="H29" s="2" t="s">
        <v>266</v>
      </c>
      <c r="I29" s="2" t="s">
        <v>267</v>
      </c>
      <c r="J29" s="2" t="n">
        <v>980</v>
      </c>
      <c r="K29" s="2" t="s">
        <v>29</v>
      </c>
      <c r="L29" s="5" t="s">
        <v>98</v>
      </c>
      <c r="M29" s="2"/>
      <c r="N29" s="2" t="s">
        <v>31</v>
      </c>
      <c r="O29" s="2"/>
      <c r="P29" s="2"/>
      <c r="Q29" s="2" t="n">
        <v>0</v>
      </c>
      <c r="R29" s="2" t="s">
        <v>268</v>
      </c>
      <c r="S29" s="2" t="s">
        <v>110</v>
      </c>
      <c r="T29" s="2" t="n">
        <v>675569163</v>
      </c>
    </row>
    <row r="30" customFormat="false" ht="15" hidden="false" customHeight="false" outlineLevel="0" collapsed="false">
      <c r="A30" s="2" t="s">
        <v>269</v>
      </c>
      <c r="B30" s="2" t="s">
        <v>270</v>
      </c>
      <c r="C30" s="2" t="s">
        <v>130</v>
      </c>
      <c r="D30" s="2" t="s">
        <v>271</v>
      </c>
      <c r="E30" s="2" t="s">
        <v>272</v>
      </c>
      <c r="F30" s="2" t="s">
        <v>273</v>
      </c>
      <c r="G30" s="2" t="s">
        <v>26</v>
      </c>
      <c r="H30" s="2" t="s">
        <v>274</v>
      </c>
      <c r="I30" s="2" t="s">
        <v>275</v>
      </c>
      <c r="J30" s="2" t="n">
        <v>1935</v>
      </c>
      <c r="K30" s="2" t="s">
        <v>42</v>
      </c>
      <c r="L30" s="5" t="s">
        <v>98</v>
      </c>
      <c r="M30" s="2"/>
      <c r="N30" s="2" t="s">
        <v>30</v>
      </c>
      <c r="O30" s="2"/>
      <c r="P30" s="2"/>
      <c r="Q30" s="2" t="n">
        <v>0</v>
      </c>
      <c r="R30" s="2" t="s">
        <v>276</v>
      </c>
      <c r="S30" s="2" t="s">
        <v>100</v>
      </c>
      <c r="T30" s="2" t="n">
        <v>675568293</v>
      </c>
    </row>
    <row r="31" customFormat="false" ht="15" hidden="false" customHeight="false" outlineLevel="0" collapsed="false">
      <c r="A31" s="2" t="s">
        <v>277</v>
      </c>
      <c r="B31" s="2" t="s">
        <v>278</v>
      </c>
      <c r="C31" s="2" t="s">
        <v>22</v>
      </c>
      <c r="D31" s="2" t="s">
        <v>279</v>
      </c>
      <c r="E31" s="2" t="s">
        <v>280</v>
      </c>
      <c r="F31" s="2" t="s">
        <v>281</v>
      </c>
      <c r="G31" s="2" t="s">
        <v>26</v>
      </c>
      <c r="H31" s="2" t="s">
        <v>282</v>
      </c>
      <c r="I31" s="2" t="s">
        <v>283</v>
      </c>
      <c r="J31" s="2" t="n">
        <v>17399</v>
      </c>
      <c r="K31" s="2" t="s">
        <v>42</v>
      </c>
      <c r="L31" s="5" t="s">
        <v>98</v>
      </c>
      <c r="M31" s="2"/>
      <c r="N31" s="2" t="s">
        <v>30</v>
      </c>
      <c r="O31" s="2"/>
      <c r="P31" s="2"/>
      <c r="Q31" s="2" t="n">
        <v>0</v>
      </c>
      <c r="R31" s="2" t="s">
        <v>284</v>
      </c>
      <c r="S31" s="2" t="s">
        <v>100</v>
      </c>
      <c r="T31" s="2" t="n">
        <v>675568289</v>
      </c>
    </row>
    <row r="32" customFormat="false" ht="15" hidden="false" customHeight="false" outlineLevel="0" collapsed="false">
      <c r="A32" s="2" t="s">
        <v>285</v>
      </c>
      <c r="B32" s="2" t="s">
        <v>286</v>
      </c>
      <c r="C32" s="2" t="s">
        <v>139</v>
      </c>
      <c r="D32" s="2" t="s">
        <v>287</v>
      </c>
      <c r="E32" s="2" t="s">
        <v>288</v>
      </c>
      <c r="F32" s="2" t="s">
        <v>289</v>
      </c>
      <c r="G32" s="2" t="s">
        <v>26</v>
      </c>
      <c r="H32" s="2" t="s">
        <v>290</v>
      </c>
      <c r="I32" s="2" t="s">
        <v>291</v>
      </c>
      <c r="J32" s="2" t="n">
        <v>1175</v>
      </c>
      <c r="K32" s="2" t="s">
        <v>29</v>
      </c>
      <c r="L32" s="5" t="s">
        <v>98</v>
      </c>
      <c r="M32" s="2"/>
      <c r="N32" s="2" t="s">
        <v>55</v>
      </c>
      <c r="O32" s="2"/>
      <c r="P32" s="2"/>
      <c r="Q32" s="2" t="n">
        <v>0</v>
      </c>
      <c r="R32" s="2" t="s">
        <v>292</v>
      </c>
      <c r="S32" s="2" t="s">
        <v>100</v>
      </c>
      <c r="T32" s="2" t="n">
        <v>675568270</v>
      </c>
    </row>
    <row r="33" customFormat="false" ht="15" hidden="false" customHeight="false" outlineLevel="0" collapsed="false">
      <c r="A33" s="2" t="s">
        <v>293</v>
      </c>
      <c r="B33" s="2" t="s">
        <v>294</v>
      </c>
      <c r="C33" s="2" t="s">
        <v>295</v>
      </c>
      <c r="D33" s="2" t="s">
        <v>296</v>
      </c>
      <c r="E33" s="2" t="s">
        <v>297</v>
      </c>
      <c r="F33" s="2" t="s">
        <v>298</v>
      </c>
      <c r="G33" s="2" t="s">
        <v>26</v>
      </c>
      <c r="H33" s="2" t="s">
        <v>299</v>
      </c>
      <c r="I33" s="2" t="s">
        <v>300</v>
      </c>
      <c r="J33" s="2" t="n">
        <v>1893</v>
      </c>
      <c r="K33" s="2" t="s">
        <v>42</v>
      </c>
      <c r="L33" s="5" t="s">
        <v>98</v>
      </c>
      <c r="M33" s="2"/>
      <c r="N33" s="2" t="s">
        <v>30</v>
      </c>
      <c r="O33" s="2"/>
      <c r="P33" s="2"/>
      <c r="Q33" s="2" t="n">
        <v>0</v>
      </c>
      <c r="R33" s="2" t="s">
        <v>301</v>
      </c>
      <c r="S33" s="2" t="s">
        <v>100</v>
      </c>
      <c r="T33" s="2" t="n">
        <v>675568286</v>
      </c>
    </row>
    <row r="34" customFormat="false" ht="15" hidden="false" customHeight="false" outlineLevel="0" collapsed="false">
      <c r="A34" s="2" t="s">
        <v>302</v>
      </c>
      <c r="B34" s="2" t="s">
        <v>303</v>
      </c>
      <c r="C34" s="2" t="s">
        <v>60</v>
      </c>
      <c r="D34" s="2" t="s">
        <v>304</v>
      </c>
      <c r="E34" s="2" t="s">
        <v>305</v>
      </c>
      <c r="F34" s="2" t="s">
        <v>306</v>
      </c>
      <c r="G34" s="2" t="s">
        <v>26</v>
      </c>
      <c r="H34" s="2" t="s">
        <v>307</v>
      </c>
      <c r="I34" s="2" t="s">
        <v>308</v>
      </c>
      <c r="J34" s="2" t="n">
        <v>207</v>
      </c>
      <c r="K34" s="2" t="s">
        <v>29</v>
      </c>
      <c r="L34" s="5" t="s">
        <v>98</v>
      </c>
      <c r="M34" s="2"/>
      <c r="N34" s="2" t="s">
        <v>55</v>
      </c>
      <c r="O34" s="2"/>
      <c r="P34" s="2"/>
      <c r="Q34" s="2" t="n">
        <v>0</v>
      </c>
      <c r="R34" s="2" t="s">
        <v>309</v>
      </c>
      <c r="S34" s="2" t="s">
        <v>100</v>
      </c>
      <c r="T34" s="2" t="n">
        <v>675567868</v>
      </c>
    </row>
    <row r="35" customFormat="false" ht="15" hidden="false" customHeight="false" outlineLevel="0" collapsed="false">
      <c r="A35" s="2" t="s">
        <v>310</v>
      </c>
      <c r="B35" s="2" t="s">
        <v>311</v>
      </c>
      <c r="C35" s="2" t="s">
        <v>312</v>
      </c>
      <c r="D35" s="2" t="s">
        <v>313</v>
      </c>
      <c r="E35" s="2" t="s">
        <v>314</v>
      </c>
      <c r="F35" s="2" t="s">
        <v>315</v>
      </c>
      <c r="G35" s="2" t="s">
        <v>26</v>
      </c>
      <c r="H35" s="2" t="s">
        <v>316</v>
      </c>
      <c r="I35" s="2" t="s">
        <v>317</v>
      </c>
      <c r="J35" s="2" t="n">
        <v>1946</v>
      </c>
      <c r="K35" s="2" t="s">
        <v>29</v>
      </c>
      <c r="L35" s="5" t="s">
        <v>98</v>
      </c>
      <c r="M35" s="2"/>
      <c r="N35" s="2" t="s">
        <v>44</v>
      </c>
      <c r="O35" s="2"/>
      <c r="P35" s="2"/>
      <c r="Q35" s="2" t="n">
        <v>0</v>
      </c>
      <c r="R35" s="2" t="s">
        <v>318</v>
      </c>
      <c r="S35" s="2" t="s">
        <v>100</v>
      </c>
      <c r="T35" s="2" t="n">
        <v>675567864</v>
      </c>
    </row>
    <row r="36" customFormat="false" ht="15" hidden="false" customHeight="false" outlineLevel="0" collapsed="false">
      <c r="A36" s="2" t="s">
        <v>319</v>
      </c>
      <c r="B36" s="2" t="s">
        <v>320</v>
      </c>
      <c r="C36" s="2" t="s">
        <v>321</v>
      </c>
      <c r="D36" s="2" t="s">
        <v>322</v>
      </c>
      <c r="E36" s="2" t="s">
        <v>323</v>
      </c>
      <c r="F36" s="2" t="s">
        <v>324</v>
      </c>
      <c r="G36" s="2" t="s">
        <v>26</v>
      </c>
      <c r="H36" s="2" t="s">
        <v>325</v>
      </c>
      <c r="I36" s="2" t="s">
        <v>326</v>
      </c>
      <c r="J36" s="2" t="n">
        <v>3211</v>
      </c>
      <c r="K36" s="2" t="s">
        <v>29</v>
      </c>
      <c r="L36" s="5" t="s">
        <v>98</v>
      </c>
      <c r="M36" s="2"/>
      <c r="N36" s="2" t="s">
        <v>31</v>
      </c>
      <c r="O36" s="2"/>
      <c r="P36" s="2"/>
      <c r="Q36" s="2" t="n">
        <v>0</v>
      </c>
      <c r="R36" s="2" t="s">
        <v>327</v>
      </c>
      <c r="S36" s="2" t="s">
        <v>110</v>
      </c>
      <c r="T36" s="2" t="n">
        <v>675569161</v>
      </c>
    </row>
    <row r="37" customFormat="false" ht="15" hidden="false" customHeight="false" outlineLevel="0" collapsed="false">
      <c r="A37" s="2" t="s">
        <v>328</v>
      </c>
      <c r="B37" s="2" t="s">
        <v>329</v>
      </c>
      <c r="C37" s="2" t="s">
        <v>330</v>
      </c>
      <c r="D37" s="2" t="s">
        <v>331</v>
      </c>
      <c r="E37" s="2" t="s">
        <v>332</v>
      </c>
      <c r="F37" s="2" t="s">
        <v>333</v>
      </c>
      <c r="G37" s="2" t="s">
        <v>26</v>
      </c>
      <c r="H37" s="2" t="s">
        <v>334</v>
      </c>
      <c r="I37" s="2" t="s">
        <v>335</v>
      </c>
      <c r="J37" s="2" t="n">
        <v>2392</v>
      </c>
      <c r="K37" s="2" t="s">
        <v>42</v>
      </c>
      <c r="L37" s="5" t="s">
        <v>98</v>
      </c>
      <c r="M37" s="2"/>
      <c r="N37" s="2" t="s">
        <v>44</v>
      </c>
      <c r="O37" s="2"/>
      <c r="P37" s="2"/>
      <c r="Q37" s="2" t="n">
        <v>0</v>
      </c>
      <c r="R37" s="2" t="s">
        <v>336</v>
      </c>
      <c r="S37" s="2" t="s">
        <v>100</v>
      </c>
      <c r="T37" s="2" t="n">
        <v>675567863</v>
      </c>
    </row>
    <row r="38" customFormat="false" ht="15" hidden="false" customHeight="false" outlineLevel="0" collapsed="false">
      <c r="A38" s="2" t="s">
        <v>337</v>
      </c>
      <c r="B38" s="2" t="s">
        <v>338</v>
      </c>
      <c r="C38" s="2" t="s">
        <v>22</v>
      </c>
      <c r="D38" s="2" t="s">
        <v>339</v>
      </c>
      <c r="E38" s="2" t="s">
        <v>340</v>
      </c>
      <c r="F38" s="2" t="s">
        <v>341</v>
      </c>
      <c r="G38" s="2" t="s">
        <v>26</v>
      </c>
      <c r="H38" s="2" t="s">
        <v>342</v>
      </c>
      <c r="I38" s="2" t="s">
        <v>343</v>
      </c>
      <c r="J38" s="2" t="n">
        <v>414</v>
      </c>
      <c r="K38" s="2" t="s">
        <v>29</v>
      </c>
      <c r="L38" s="5" t="s">
        <v>98</v>
      </c>
      <c r="M38" s="2"/>
      <c r="N38" s="2" t="s">
        <v>31</v>
      </c>
      <c r="O38" s="2"/>
      <c r="P38" s="2"/>
      <c r="Q38" s="2" t="n">
        <v>0</v>
      </c>
      <c r="R38" s="2" t="s">
        <v>344</v>
      </c>
      <c r="S38" s="2" t="s">
        <v>110</v>
      </c>
      <c r="T38" s="2" t="n">
        <v>675569177</v>
      </c>
    </row>
    <row r="39" customFormat="false" ht="15" hidden="false" customHeight="false" outlineLevel="0" collapsed="false">
      <c r="A39" s="2" t="s">
        <v>345</v>
      </c>
      <c r="B39" s="2" t="s">
        <v>346</v>
      </c>
      <c r="C39" s="2" t="s">
        <v>347</v>
      </c>
      <c r="D39" s="2" t="s">
        <v>348</v>
      </c>
      <c r="E39" s="2" t="s">
        <v>349</v>
      </c>
      <c r="F39" s="2" t="s">
        <v>350</v>
      </c>
      <c r="G39" s="2" t="s">
        <v>26</v>
      </c>
      <c r="H39" s="2" t="s">
        <v>351</v>
      </c>
      <c r="I39" s="2" t="s">
        <v>352</v>
      </c>
      <c r="J39" s="2" t="n">
        <v>486</v>
      </c>
      <c r="K39" s="2" t="s">
        <v>29</v>
      </c>
      <c r="L39" s="5" t="s">
        <v>98</v>
      </c>
      <c r="M39" s="2"/>
      <c r="N39" s="2" t="s">
        <v>55</v>
      </c>
      <c r="O39" s="2"/>
      <c r="P39" s="2"/>
      <c r="Q39" s="2" t="n">
        <v>0</v>
      </c>
      <c r="R39" s="2" t="s">
        <v>353</v>
      </c>
      <c r="S39" s="2" t="s">
        <v>100</v>
      </c>
      <c r="T39" s="2" t="n">
        <v>675568281</v>
      </c>
    </row>
    <row r="40" customFormat="false" ht="15" hidden="false" customHeight="false" outlineLevel="0" collapsed="false">
      <c r="A40" s="2" t="s">
        <v>354</v>
      </c>
      <c r="B40" s="2" t="s">
        <v>355</v>
      </c>
      <c r="C40" s="2" t="s">
        <v>50</v>
      </c>
      <c r="D40" s="2" t="s">
        <v>356</v>
      </c>
      <c r="E40" s="2" t="s">
        <v>357</v>
      </c>
      <c r="F40" s="2" t="s">
        <v>358</v>
      </c>
      <c r="G40" s="2" t="s">
        <v>26</v>
      </c>
      <c r="H40" s="2" t="s">
        <v>359</v>
      </c>
      <c r="I40" s="2" t="s">
        <v>360</v>
      </c>
      <c r="J40" s="2" t="n">
        <v>1076</v>
      </c>
      <c r="K40" s="2" t="s">
        <v>29</v>
      </c>
      <c r="L40" s="5" t="s">
        <v>98</v>
      </c>
      <c r="M40" s="2"/>
      <c r="N40" s="2" t="s">
        <v>30</v>
      </c>
      <c r="O40" s="2"/>
      <c r="P40" s="2"/>
      <c r="Q40" s="2" t="n">
        <v>0</v>
      </c>
      <c r="R40" s="2" t="s">
        <v>361</v>
      </c>
      <c r="S40" s="2" t="s">
        <v>100</v>
      </c>
      <c r="T40" s="2" t="n">
        <v>675568285</v>
      </c>
    </row>
    <row r="41" customFormat="false" ht="15" hidden="false" customHeight="false" outlineLevel="0" collapsed="false">
      <c r="A41" s="2" t="s">
        <v>362</v>
      </c>
      <c r="B41" s="2" t="s">
        <v>363</v>
      </c>
      <c r="C41" s="2" t="s">
        <v>130</v>
      </c>
      <c r="D41" s="2" t="s">
        <v>364</v>
      </c>
      <c r="E41" s="6" t="s">
        <v>365</v>
      </c>
      <c r="F41" s="2" t="s">
        <v>366</v>
      </c>
      <c r="G41" s="2" t="s">
        <v>26</v>
      </c>
      <c r="H41" s="2" t="s">
        <v>367</v>
      </c>
      <c r="I41" s="2" t="s">
        <v>368</v>
      </c>
      <c r="J41" s="2" t="n">
        <v>7881</v>
      </c>
      <c r="K41" s="2" t="s">
        <v>42</v>
      </c>
      <c r="L41" s="5" t="s">
        <v>98</v>
      </c>
      <c r="M41" s="2"/>
      <c r="N41" s="2" t="s">
        <v>43</v>
      </c>
      <c r="O41" s="2"/>
      <c r="P41" s="2"/>
      <c r="Q41" s="2" t="n">
        <v>0</v>
      </c>
      <c r="R41" s="2" t="s">
        <v>369</v>
      </c>
      <c r="S41" s="2" t="s">
        <v>100</v>
      </c>
      <c r="T41" s="2" t="n">
        <v>675567851</v>
      </c>
    </row>
    <row r="42" customFormat="false" ht="15" hidden="false" customHeight="false" outlineLevel="0" collapsed="false">
      <c r="A42" s="2" t="s">
        <v>370</v>
      </c>
      <c r="B42" s="2" t="s">
        <v>371</v>
      </c>
      <c r="C42" s="2" t="s">
        <v>372</v>
      </c>
      <c r="D42" s="2" t="s">
        <v>373</v>
      </c>
      <c r="E42" s="2" t="s">
        <v>374</v>
      </c>
      <c r="F42" s="2" t="s">
        <v>375</v>
      </c>
      <c r="G42" s="2" t="s">
        <v>26</v>
      </c>
      <c r="H42" s="2" t="s">
        <v>376</v>
      </c>
      <c r="I42" s="2" t="s">
        <v>377</v>
      </c>
      <c r="J42" s="2" t="n">
        <v>13948</v>
      </c>
      <c r="K42" s="2" t="s">
        <v>42</v>
      </c>
      <c r="L42" s="5" t="s">
        <v>98</v>
      </c>
      <c r="M42" s="2"/>
      <c r="N42" s="2" t="s">
        <v>45</v>
      </c>
      <c r="O42" s="2"/>
      <c r="P42" s="2"/>
      <c r="Q42" s="2" t="n">
        <v>0</v>
      </c>
      <c r="R42" s="2" t="s">
        <v>378</v>
      </c>
      <c r="S42" s="2" t="s">
        <v>110</v>
      </c>
      <c r="T42" s="2" t="n">
        <v>675569154</v>
      </c>
    </row>
    <row r="43" customFormat="false" ht="15" hidden="false" customHeight="false" outlineLevel="0" collapsed="false">
      <c r="A43" s="2" t="s">
        <v>379</v>
      </c>
      <c r="B43" s="2" t="s">
        <v>380</v>
      </c>
      <c r="C43" s="2" t="s">
        <v>381</v>
      </c>
      <c r="D43" s="2" t="s">
        <v>382</v>
      </c>
      <c r="E43" s="2" t="s">
        <v>381</v>
      </c>
      <c r="F43" s="2" t="s">
        <v>383</v>
      </c>
      <c r="G43" s="2" t="s">
        <v>26</v>
      </c>
      <c r="H43" s="2"/>
      <c r="I43" s="2" t="s">
        <v>384</v>
      </c>
      <c r="J43" s="2" t="n">
        <v>949</v>
      </c>
      <c r="K43" s="2" t="s">
        <v>29</v>
      </c>
      <c r="L43" s="5" t="s">
        <v>98</v>
      </c>
      <c r="M43" s="2"/>
      <c r="N43" s="2" t="s">
        <v>43</v>
      </c>
      <c r="O43" s="2"/>
      <c r="P43" s="2"/>
      <c r="Q43" s="2" t="n">
        <v>0</v>
      </c>
      <c r="R43" s="2" t="s">
        <v>385</v>
      </c>
      <c r="S43" s="2" t="s">
        <v>100</v>
      </c>
      <c r="T43" s="2" t="n">
        <v>675567858</v>
      </c>
    </row>
    <row r="44" customFormat="false" ht="15" hidden="false" customHeight="false" outlineLevel="0" collapsed="false">
      <c r="A44" s="2" t="s">
        <v>386</v>
      </c>
      <c r="B44" s="2" t="s">
        <v>387</v>
      </c>
      <c r="C44" s="2" t="s">
        <v>388</v>
      </c>
      <c r="D44" s="2" t="s">
        <v>389</v>
      </c>
      <c r="E44" s="2" t="s">
        <v>390</v>
      </c>
      <c r="F44" s="2" t="s">
        <v>142</v>
      </c>
      <c r="G44" s="2" t="s">
        <v>26</v>
      </c>
      <c r="H44" s="2" t="s">
        <v>391</v>
      </c>
      <c r="I44" s="2" t="s">
        <v>392</v>
      </c>
      <c r="J44" s="2" t="n">
        <v>187</v>
      </c>
      <c r="K44" s="2" t="s">
        <v>29</v>
      </c>
      <c r="L44" s="5" t="s">
        <v>98</v>
      </c>
      <c r="M44" s="2"/>
      <c r="N44" s="2" t="s">
        <v>45</v>
      </c>
      <c r="O44" s="2"/>
      <c r="P44" s="2"/>
      <c r="Q44" s="2" t="n">
        <v>0</v>
      </c>
      <c r="R44" s="2" t="s">
        <v>393</v>
      </c>
      <c r="S44" s="2" t="s">
        <v>110</v>
      </c>
      <c r="T44" s="2" t="n">
        <v>675568698</v>
      </c>
    </row>
    <row r="45" customFormat="false" ht="15" hidden="false" customHeight="false" outlineLevel="0" collapsed="false">
      <c r="A45" s="2" t="s">
        <v>394</v>
      </c>
      <c r="B45" s="2" t="s">
        <v>395</v>
      </c>
      <c r="C45" s="2" t="s">
        <v>22</v>
      </c>
      <c r="D45" s="2" t="s">
        <v>396</v>
      </c>
      <c r="E45" s="2" t="s">
        <v>397</v>
      </c>
      <c r="F45" s="2" t="s">
        <v>189</v>
      </c>
      <c r="G45" s="2" t="s">
        <v>26</v>
      </c>
      <c r="H45" s="2" t="s">
        <v>398</v>
      </c>
      <c r="I45" s="2" t="s">
        <v>399</v>
      </c>
      <c r="J45" s="2" t="n">
        <v>3522</v>
      </c>
      <c r="K45" s="2" t="s">
        <v>42</v>
      </c>
      <c r="L45" s="5" t="s">
        <v>98</v>
      </c>
      <c r="M45" s="2"/>
      <c r="N45" s="2" t="s">
        <v>45</v>
      </c>
      <c r="O45" s="2"/>
      <c r="P45" s="2"/>
      <c r="Q45" s="2" t="n">
        <v>0</v>
      </c>
      <c r="R45" s="2" t="s">
        <v>400</v>
      </c>
      <c r="S45" s="2" t="s">
        <v>100</v>
      </c>
      <c r="T45" s="2" t="n">
        <v>675568688</v>
      </c>
    </row>
    <row r="46" customFormat="false" ht="15" hidden="false" customHeight="false" outlineLevel="0" collapsed="false">
      <c r="A46" s="2" t="s">
        <v>401</v>
      </c>
      <c r="B46" s="2" t="s">
        <v>402</v>
      </c>
      <c r="C46" s="2" t="s">
        <v>139</v>
      </c>
      <c r="D46" s="2" t="s">
        <v>403</v>
      </c>
      <c r="E46" s="2" t="s">
        <v>404</v>
      </c>
      <c r="F46" s="2" t="s">
        <v>405</v>
      </c>
      <c r="G46" s="2" t="s">
        <v>26</v>
      </c>
      <c r="H46" s="2" t="s">
        <v>406</v>
      </c>
      <c r="I46" s="2" t="s">
        <v>407</v>
      </c>
      <c r="J46" s="2" t="n">
        <v>2458</v>
      </c>
      <c r="K46" s="2" t="s">
        <v>42</v>
      </c>
      <c r="L46" s="5" t="s">
        <v>98</v>
      </c>
      <c r="M46" s="2"/>
      <c r="N46" s="2" t="s">
        <v>44</v>
      </c>
      <c r="O46" s="2"/>
      <c r="P46" s="2"/>
      <c r="Q46" s="2" t="n">
        <v>0</v>
      </c>
      <c r="R46" s="2" t="s">
        <v>408</v>
      </c>
      <c r="S46" s="2" t="s">
        <v>100</v>
      </c>
      <c r="T46" s="2" t="n">
        <v>675567865</v>
      </c>
    </row>
    <row r="47" customFormat="false" ht="15" hidden="false" customHeight="false" outlineLevel="0" collapsed="false">
      <c r="A47" s="2" t="s">
        <v>409</v>
      </c>
      <c r="B47" s="2" t="s">
        <v>402</v>
      </c>
      <c r="C47" s="2" t="s">
        <v>410</v>
      </c>
      <c r="D47" s="2" t="s">
        <v>411</v>
      </c>
      <c r="E47" s="2" t="s">
        <v>412</v>
      </c>
      <c r="F47" s="2" t="s">
        <v>26</v>
      </c>
      <c r="G47" s="2" t="s">
        <v>26</v>
      </c>
      <c r="H47" s="2"/>
      <c r="I47" s="2" t="s">
        <v>413</v>
      </c>
      <c r="J47" s="2" t="n">
        <v>341</v>
      </c>
      <c r="K47" s="2" t="s">
        <v>29</v>
      </c>
      <c r="L47" s="5" t="s">
        <v>98</v>
      </c>
      <c r="M47" s="2"/>
      <c r="N47" s="2" t="s">
        <v>30</v>
      </c>
      <c r="O47" s="2"/>
      <c r="P47" s="2"/>
      <c r="Q47" s="2" t="n">
        <v>0</v>
      </c>
      <c r="R47" s="2" t="s">
        <v>414</v>
      </c>
      <c r="S47" s="2" t="s">
        <v>100</v>
      </c>
      <c r="T47" s="2" t="n">
        <v>675568287</v>
      </c>
    </row>
    <row r="48" customFormat="false" ht="15" hidden="false" customHeight="false" outlineLevel="0" collapsed="false">
      <c r="A48" s="2" t="s">
        <v>415</v>
      </c>
      <c r="B48" s="2" t="s">
        <v>416</v>
      </c>
      <c r="C48" s="2" t="s">
        <v>417</v>
      </c>
      <c r="D48" s="2" t="s">
        <v>418</v>
      </c>
      <c r="E48" s="2" t="s">
        <v>419</v>
      </c>
      <c r="F48" s="2" t="s">
        <v>420</v>
      </c>
      <c r="G48" s="2" t="s">
        <v>26</v>
      </c>
      <c r="H48" s="2" t="s">
        <v>421</v>
      </c>
      <c r="I48" s="2" t="s">
        <v>422</v>
      </c>
      <c r="J48" s="2" t="n">
        <v>1691</v>
      </c>
      <c r="K48" s="2" t="s">
        <v>29</v>
      </c>
      <c r="L48" s="5" t="s">
        <v>98</v>
      </c>
      <c r="M48" s="2"/>
      <c r="N48" s="2" t="s">
        <v>31</v>
      </c>
      <c r="O48" s="2"/>
      <c r="P48" s="2"/>
      <c r="Q48" s="2" t="n">
        <v>0</v>
      </c>
      <c r="R48" s="2" t="s">
        <v>423</v>
      </c>
      <c r="S48" s="2" t="s">
        <v>110</v>
      </c>
      <c r="T48" s="2" t="n">
        <v>675569158</v>
      </c>
    </row>
    <row r="49" customFormat="false" ht="15" hidden="false" customHeight="false" outlineLevel="0" collapsed="false">
      <c r="A49" s="2" t="s">
        <v>424</v>
      </c>
      <c r="B49" s="2" t="s">
        <v>425</v>
      </c>
      <c r="C49" s="2" t="s">
        <v>122</v>
      </c>
      <c r="D49" s="2" t="s">
        <v>426</v>
      </c>
      <c r="E49" s="2" t="s">
        <v>427</v>
      </c>
      <c r="F49" s="2" t="s">
        <v>428</v>
      </c>
      <c r="G49" s="2" t="s">
        <v>26</v>
      </c>
      <c r="H49" s="2" t="s">
        <v>429</v>
      </c>
      <c r="I49" s="2" t="s">
        <v>430</v>
      </c>
      <c r="J49" s="2" t="n">
        <v>304</v>
      </c>
      <c r="K49" s="2" t="s">
        <v>29</v>
      </c>
      <c r="L49" s="5" t="s">
        <v>98</v>
      </c>
      <c r="M49" s="2"/>
      <c r="N49" s="2" t="s">
        <v>31</v>
      </c>
      <c r="O49" s="2"/>
      <c r="P49" s="2"/>
      <c r="Q49" s="2" t="n">
        <v>0</v>
      </c>
      <c r="R49" s="2" t="s">
        <v>431</v>
      </c>
      <c r="S49" s="2" t="s">
        <v>110</v>
      </c>
      <c r="T49" s="2" t="n">
        <v>675569178</v>
      </c>
    </row>
    <row r="50" customFormat="false" ht="15" hidden="false" customHeight="false" outlineLevel="0" collapsed="false">
      <c r="A50" s="2" t="s">
        <v>432</v>
      </c>
      <c r="B50" s="2" t="s">
        <v>433</v>
      </c>
      <c r="C50" s="2" t="s">
        <v>434</v>
      </c>
      <c r="D50" s="2" t="s">
        <v>104</v>
      </c>
      <c r="E50" s="2" t="s">
        <v>435</v>
      </c>
      <c r="F50" s="2" t="s">
        <v>26</v>
      </c>
      <c r="G50" s="2" t="s">
        <v>26</v>
      </c>
      <c r="H50" s="2" t="s">
        <v>436</v>
      </c>
      <c r="I50" s="2" t="s">
        <v>437</v>
      </c>
      <c r="J50" s="2" t="n">
        <v>890</v>
      </c>
      <c r="K50" s="2" t="s">
        <v>29</v>
      </c>
      <c r="L50" s="5" t="s">
        <v>98</v>
      </c>
      <c r="M50" s="2"/>
      <c r="N50" s="2" t="s">
        <v>31</v>
      </c>
      <c r="O50" s="2"/>
      <c r="P50" s="2"/>
      <c r="Q50" s="2" t="n">
        <v>0</v>
      </c>
      <c r="R50" s="2" t="s">
        <v>438</v>
      </c>
      <c r="S50" s="2" t="s">
        <v>110</v>
      </c>
      <c r="T50" s="2" t="n">
        <v>675569171</v>
      </c>
    </row>
    <row r="51" customFormat="false" ht="15" hidden="false" customHeight="false" outlineLevel="0" collapsed="false">
      <c r="A51" s="2" t="s">
        <v>439</v>
      </c>
      <c r="B51" s="2" t="s">
        <v>440</v>
      </c>
      <c r="C51" s="2" t="s">
        <v>441</v>
      </c>
      <c r="D51" s="2" t="s">
        <v>442</v>
      </c>
      <c r="E51" s="2" t="s">
        <v>443</v>
      </c>
      <c r="F51" s="2" t="s">
        <v>420</v>
      </c>
      <c r="G51" s="2" t="s">
        <v>26</v>
      </c>
      <c r="H51" s="2"/>
      <c r="I51" s="2" t="s">
        <v>444</v>
      </c>
      <c r="J51" s="2" t="n">
        <v>1507</v>
      </c>
      <c r="K51" s="2" t="s">
        <v>29</v>
      </c>
      <c r="L51" s="5" t="s">
        <v>98</v>
      </c>
      <c r="M51" s="2"/>
      <c r="N51" s="2" t="s">
        <v>30</v>
      </c>
      <c r="O51" s="2"/>
      <c r="P51" s="2"/>
      <c r="Q51" s="2" t="n">
        <v>0</v>
      </c>
      <c r="R51" s="2" t="s">
        <v>445</v>
      </c>
      <c r="S51" s="2" t="s">
        <v>100</v>
      </c>
      <c r="T51" s="2" t="n">
        <v>675568676</v>
      </c>
    </row>
    <row r="52" customFormat="false" ht="15" hidden="false" customHeight="false" outlineLevel="0" collapsed="false">
      <c r="A52" s="2" t="s">
        <v>446</v>
      </c>
      <c r="B52" s="2" t="s">
        <v>447</v>
      </c>
      <c r="C52" s="2" t="s">
        <v>122</v>
      </c>
      <c r="D52" s="2" t="s">
        <v>448</v>
      </c>
      <c r="E52" s="2" t="s">
        <v>449</v>
      </c>
      <c r="F52" s="2" t="s">
        <v>450</v>
      </c>
      <c r="G52" s="2" t="s">
        <v>26</v>
      </c>
      <c r="H52" s="2"/>
      <c r="I52" s="2" t="s">
        <v>451</v>
      </c>
      <c r="J52" s="2" t="n">
        <v>711</v>
      </c>
      <c r="K52" s="2" t="s">
        <v>29</v>
      </c>
      <c r="L52" s="5" t="s">
        <v>98</v>
      </c>
      <c r="M52" s="2"/>
      <c r="N52" s="2" t="s">
        <v>31</v>
      </c>
      <c r="O52" s="2"/>
      <c r="P52" s="2"/>
      <c r="Q52" s="2" t="n">
        <v>0</v>
      </c>
      <c r="R52" s="2" t="s">
        <v>452</v>
      </c>
      <c r="S52" s="2" t="s">
        <v>110</v>
      </c>
      <c r="T52" s="2" t="n">
        <v>675569170</v>
      </c>
    </row>
    <row r="53" customFormat="false" ht="15" hidden="false" customHeight="false" outlineLevel="0" collapsed="false">
      <c r="A53" s="2" t="s">
        <v>453</v>
      </c>
      <c r="B53" s="2" t="s">
        <v>454</v>
      </c>
      <c r="C53" s="2" t="s">
        <v>455</v>
      </c>
      <c r="D53" s="2" t="s">
        <v>456</v>
      </c>
      <c r="E53" s="2" t="s">
        <v>457</v>
      </c>
      <c r="F53" s="2" t="s">
        <v>458</v>
      </c>
      <c r="G53" s="2" t="s">
        <v>26</v>
      </c>
      <c r="H53" s="2" t="s">
        <v>459</v>
      </c>
      <c r="I53" s="2" t="s">
        <v>460</v>
      </c>
      <c r="J53" s="2" t="n">
        <v>738</v>
      </c>
      <c r="K53" s="2" t="s">
        <v>42</v>
      </c>
      <c r="L53" s="5" t="s">
        <v>98</v>
      </c>
      <c r="M53" s="2"/>
      <c r="N53" s="2" t="s">
        <v>45</v>
      </c>
      <c r="O53" s="2"/>
      <c r="P53" s="2"/>
      <c r="Q53" s="2" t="n">
        <v>0</v>
      </c>
      <c r="R53" s="2" t="s">
        <v>461</v>
      </c>
      <c r="S53" s="2" t="s">
        <v>110</v>
      </c>
      <c r="T53" s="2" t="n">
        <v>675568699</v>
      </c>
    </row>
    <row r="54" customFormat="false" ht="15" hidden="false" customHeight="false" outlineLevel="0" collapsed="false">
      <c r="A54" s="2" t="s">
        <v>462</v>
      </c>
      <c r="B54" s="2" t="s">
        <v>463</v>
      </c>
      <c r="C54" s="2" t="s">
        <v>22</v>
      </c>
      <c r="D54" s="2" t="s">
        <v>464</v>
      </c>
      <c r="E54" s="2" t="s">
        <v>465</v>
      </c>
      <c r="F54" s="2" t="s">
        <v>466</v>
      </c>
      <c r="G54" s="2" t="s">
        <v>26</v>
      </c>
      <c r="H54" s="2"/>
      <c r="I54" s="2" t="s">
        <v>467</v>
      </c>
      <c r="J54" s="2" t="n">
        <v>6016</v>
      </c>
      <c r="K54" s="2" t="s">
        <v>42</v>
      </c>
      <c r="L54" s="5" t="s">
        <v>98</v>
      </c>
      <c r="M54" s="2"/>
      <c r="N54" s="2" t="s">
        <v>45</v>
      </c>
      <c r="O54" s="2"/>
      <c r="P54" s="2"/>
      <c r="Q54" s="2" t="n">
        <v>0</v>
      </c>
      <c r="R54" s="2" t="s">
        <v>468</v>
      </c>
      <c r="S54" s="2" t="s">
        <v>100</v>
      </c>
      <c r="T54" s="2" t="n">
        <v>675568696</v>
      </c>
    </row>
    <row r="55" customFormat="false" ht="15" hidden="false" customHeight="false" outlineLevel="0" collapsed="false">
      <c r="A55" s="2" t="s">
        <v>469</v>
      </c>
      <c r="B55" s="2" t="s">
        <v>470</v>
      </c>
      <c r="C55" s="2" t="s">
        <v>312</v>
      </c>
      <c r="D55" s="2" t="s">
        <v>471</v>
      </c>
      <c r="E55" s="2" t="s">
        <v>472</v>
      </c>
      <c r="F55" s="2" t="s">
        <v>473</v>
      </c>
      <c r="G55" s="2" t="s">
        <v>26</v>
      </c>
      <c r="H55" s="2" t="s">
        <v>474</v>
      </c>
      <c r="I55" s="2" t="s">
        <v>475</v>
      </c>
      <c r="J55" s="2" t="n">
        <v>18597</v>
      </c>
      <c r="K55" s="2" t="s">
        <v>29</v>
      </c>
      <c r="L55" s="5" t="s">
        <v>98</v>
      </c>
      <c r="M55" s="2"/>
      <c r="N55" s="2" t="s">
        <v>31</v>
      </c>
      <c r="O55" s="2"/>
      <c r="P55" s="2"/>
      <c r="Q55" s="2" t="n">
        <v>0</v>
      </c>
      <c r="R55" s="2" t="s">
        <v>476</v>
      </c>
      <c r="S55" s="2" t="s">
        <v>110</v>
      </c>
      <c r="T55" s="2" t="n">
        <v>675569167</v>
      </c>
    </row>
    <row r="56" customFormat="false" ht="15" hidden="false" customHeight="false" outlineLevel="0" collapsed="false">
      <c r="A56" s="2" t="s">
        <v>477</v>
      </c>
      <c r="B56" s="2" t="s">
        <v>478</v>
      </c>
      <c r="C56" s="2" t="s">
        <v>479</v>
      </c>
      <c r="D56" s="2" t="s">
        <v>480</v>
      </c>
      <c r="E56" s="2" t="s">
        <v>481</v>
      </c>
      <c r="F56" s="2" t="s">
        <v>482</v>
      </c>
      <c r="G56" s="2" t="s">
        <v>26</v>
      </c>
      <c r="H56" s="2"/>
      <c r="I56" s="2" t="s">
        <v>483</v>
      </c>
      <c r="J56" s="2" t="n">
        <v>171</v>
      </c>
      <c r="K56" s="2" t="s">
        <v>29</v>
      </c>
      <c r="L56" s="5" t="s">
        <v>98</v>
      </c>
      <c r="M56" s="2"/>
      <c r="N56" s="2" t="s">
        <v>30</v>
      </c>
      <c r="O56" s="2"/>
      <c r="P56" s="2"/>
      <c r="Q56" s="2" t="n">
        <v>0</v>
      </c>
      <c r="R56" s="2" t="s">
        <v>484</v>
      </c>
      <c r="S56" s="2" t="s">
        <v>100</v>
      </c>
      <c r="T56" s="2" t="n">
        <v>675568292</v>
      </c>
    </row>
    <row r="57" customFormat="false" ht="15" hidden="false" customHeight="false" outlineLevel="0" collapsed="false">
      <c r="A57" s="2" t="s">
        <v>485</v>
      </c>
      <c r="B57" s="2" t="s">
        <v>486</v>
      </c>
      <c r="C57" s="2" t="s">
        <v>213</v>
      </c>
      <c r="D57" s="2" t="s">
        <v>487</v>
      </c>
      <c r="E57" s="2" t="s">
        <v>488</v>
      </c>
      <c r="F57" s="2" t="s">
        <v>26</v>
      </c>
      <c r="G57" s="2" t="s">
        <v>26</v>
      </c>
      <c r="H57" s="2" t="s">
        <v>489</v>
      </c>
      <c r="I57" s="2" t="s">
        <v>490</v>
      </c>
      <c r="J57" s="2" t="n">
        <v>12799</v>
      </c>
      <c r="K57" s="2" t="s">
        <v>29</v>
      </c>
      <c r="L57" s="5" t="s">
        <v>98</v>
      </c>
      <c r="M57" s="2"/>
      <c r="N57" s="2" t="s">
        <v>31</v>
      </c>
      <c r="O57" s="2"/>
      <c r="P57" s="2"/>
      <c r="Q57" s="2" t="n">
        <v>0</v>
      </c>
      <c r="R57" s="2" t="s">
        <v>491</v>
      </c>
      <c r="S57" s="2" t="s">
        <v>110</v>
      </c>
      <c r="T57" s="2" t="n">
        <v>675569169</v>
      </c>
    </row>
    <row r="58" customFormat="false" ht="15" hidden="false" customHeight="false" outlineLevel="0" collapsed="false">
      <c r="A58" s="2" t="s">
        <v>492</v>
      </c>
      <c r="B58" s="2" t="s">
        <v>493</v>
      </c>
      <c r="C58" s="2" t="s">
        <v>204</v>
      </c>
      <c r="D58" s="2" t="s">
        <v>494</v>
      </c>
      <c r="E58" s="2" t="s">
        <v>495</v>
      </c>
      <c r="F58" s="2" t="s">
        <v>26</v>
      </c>
      <c r="G58" s="2" t="s">
        <v>496</v>
      </c>
      <c r="H58" s="2" t="s">
        <v>497</v>
      </c>
      <c r="I58" s="2" t="s">
        <v>498</v>
      </c>
      <c r="J58" s="2" t="n">
        <v>6459</v>
      </c>
      <c r="K58" s="2" t="s">
        <v>42</v>
      </c>
      <c r="L58" s="5" t="s">
        <v>98</v>
      </c>
      <c r="M58" s="2"/>
      <c r="N58" s="2" t="s">
        <v>44</v>
      </c>
      <c r="O58" s="2"/>
      <c r="P58" s="2"/>
      <c r="Q58" s="2" t="n">
        <v>0</v>
      </c>
      <c r="R58" s="2" t="s">
        <v>499</v>
      </c>
      <c r="S58" s="2" t="s">
        <v>100</v>
      </c>
      <c r="T58" s="2" t="n">
        <v>675567867</v>
      </c>
    </row>
    <row r="59" customFormat="false" ht="15" hidden="false" customHeight="false" outlineLevel="0" collapsed="false">
      <c r="A59" s="2" t="s">
        <v>500</v>
      </c>
      <c r="B59" s="2" t="s">
        <v>501</v>
      </c>
      <c r="C59" s="2" t="s">
        <v>502</v>
      </c>
      <c r="D59" s="2" t="s">
        <v>503</v>
      </c>
      <c r="E59" s="2" t="s">
        <v>504</v>
      </c>
      <c r="F59" s="2" t="s">
        <v>505</v>
      </c>
      <c r="G59" s="2" t="s">
        <v>26</v>
      </c>
      <c r="H59" s="2" t="s">
        <v>506</v>
      </c>
      <c r="I59" s="2" t="s">
        <v>507</v>
      </c>
      <c r="J59" s="2" t="n">
        <v>895</v>
      </c>
      <c r="K59" s="2" t="s">
        <v>42</v>
      </c>
      <c r="L59" s="5" t="s">
        <v>98</v>
      </c>
      <c r="M59" s="2"/>
      <c r="N59" s="2" t="s">
        <v>55</v>
      </c>
      <c r="O59" s="2"/>
      <c r="P59" s="2"/>
      <c r="Q59" s="2" t="n">
        <v>0</v>
      </c>
      <c r="R59" s="2" t="s">
        <v>508</v>
      </c>
      <c r="S59" s="2" t="s">
        <v>100</v>
      </c>
      <c r="T59" s="2" t="n">
        <v>675568278</v>
      </c>
    </row>
    <row r="60" customFormat="false" ht="15" hidden="false" customHeight="false" outlineLevel="0" collapsed="false">
      <c r="A60" s="2" t="s">
        <v>509</v>
      </c>
      <c r="B60" s="2" t="s">
        <v>510</v>
      </c>
      <c r="C60" s="2" t="s">
        <v>22</v>
      </c>
      <c r="D60" s="2" t="s">
        <v>511</v>
      </c>
      <c r="E60" s="2" t="s">
        <v>512</v>
      </c>
      <c r="F60" s="2" t="s">
        <v>513</v>
      </c>
      <c r="G60" s="2" t="s">
        <v>26</v>
      </c>
      <c r="H60" s="2" t="s">
        <v>514</v>
      </c>
      <c r="I60" s="2" t="s">
        <v>515</v>
      </c>
      <c r="J60" s="2" t="n">
        <v>29787</v>
      </c>
      <c r="K60" s="2" t="s">
        <v>29</v>
      </c>
      <c r="L60" s="5" t="s">
        <v>98</v>
      </c>
      <c r="M60" s="2"/>
      <c r="N60" s="2" t="s">
        <v>45</v>
      </c>
      <c r="O60" s="2"/>
      <c r="P60" s="2"/>
      <c r="Q60" s="2" t="n">
        <v>0</v>
      </c>
      <c r="R60" s="2" t="s">
        <v>516</v>
      </c>
      <c r="S60" s="2" t="s">
        <v>100</v>
      </c>
      <c r="T60" s="2" t="n">
        <v>675568694</v>
      </c>
    </row>
    <row r="61" customFormat="false" ht="15" hidden="false" customHeight="false" outlineLevel="0" collapsed="false">
      <c r="A61" s="2" t="s">
        <v>517</v>
      </c>
      <c r="B61" s="2" t="s">
        <v>510</v>
      </c>
      <c r="C61" s="2" t="s">
        <v>312</v>
      </c>
      <c r="D61" s="2" t="s">
        <v>518</v>
      </c>
      <c r="E61" s="2" t="s">
        <v>519</v>
      </c>
      <c r="F61" s="2" t="s">
        <v>520</v>
      </c>
      <c r="G61" s="2" t="s">
        <v>26</v>
      </c>
      <c r="H61" s="2" t="s">
        <v>521</v>
      </c>
      <c r="I61" s="2" t="s">
        <v>522</v>
      </c>
      <c r="J61" s="2" t="n">
        <v>2246</v>
      </c>
      <c r="K61" s="2" t="s">
        <v>42</v>
      </c>
      <c r="L61" s="5" t="s">
        <v>98</v>
      </c>
      <c r="M61" s="2"/>
      <c r="N61" s="2" t="s">
        <v>31</v>
      </c>
      <c r="O61" s="2"/>
      <c r="P61" s="2"/>
      <c r="Q61" s="2" t="n">
        <v>0</v>
      </c>
      <c r="R61" s="2" t="s">
        <v>523</v>
      </c>
      <c r="S61" s="2" t="s">
        <v>110</v>
      </c>
      <c r="T61" s="2" t="n">
        <v>675569159</v>
      </c>
    </row>
    <row r="62" customFormat="false" ht="15" hidden="false" customHeight="false" outlineLevel="0" collapsed="false">
      <c r="A62" s="2" t="s">
        <v>524</v>
      </c>
      <c r="B62" s="2" t="s">
        <v>525</v>
      </c>
      <c r="C62" s="2" t="s">
        <v>204</v>
      </c>
      <c r="D62" s="2" t="s">
        <v>526</v>
      </c>
      <c r="E62" s="2" t="s">
        <v>527</v>
      </c>
      <c r="F62" s="2" t="s">
        <v>142</v>
      </c>
      <c r="G62" s="2" t="s">
        <v>26</v>
      </c>
      <c r="H62" s="2" t="s">
        <v>528</v>
      </c>
      <c r="I62" s="2" t="s">
        <v>529</v>
      </c>
      <c r="J62" s="2" t="n">
        <v>17420</v>
      </c>
      <c r="K62" s="2" t="s">
        <v>42</v>
      </c>
      <c r="L62" s="5" t="s">
        <v>98</v>
      </c>
      <c r="M62" s="2"/>
      <c r="N62" s="2" t="s">
        <v>43</v>
      </c>
      <c r="O62" s="2"/>
      <c r="P62" s="2"/>
      <c r="Q62" s="2" t="n">
        <v>0</v>
      </c>
      <c r="R62" s="2" t="s">
        <v>530</v>
      </c>
      <c r="S62" s="2" t="s">
        <v>100</v>
      </c>
      <c r="T62" s="2" t="n">
        <v>675567849</v>
      </c>
    </row>
    <row r="63" customFormat="false" ht="15" hidden="false" customHeight="false" outlineLevel="0" collapsed="false">
      <c r="A63" s="2" t="s">
        <v>531</v>
      </c>
      <c r="B63" s="2" t="s">
        <v>532</v>
      </c>
      <c r="C63" s="2" t="s">
        <v>50</v>
      </c>
      <c r="D63" s="2" t="s">
        <v>533</v>
      </c>
      <c r="E63" s="2" t="s">
        <v>534</v>
      </c>
      <c r="F63" s="2" t="s">
        <v>535</v>
      </c>
      <c r="G63" s="2" t="s">
        <v>26</v>
      </c>
      <c r="H63" s="2"/>
      <c r="I63" s="2" t="s">
        <v>536</v>
      </c>
      <c r="J63" s="2" t="n">
        <v>967</v>
      </c>
      <c r="K63" s="2" t="s">
        <v>29</v>
      </c>
      <c r="L63" s="5" t="s">
        <v>98</v>
      </c>
      <c r="M63" s="2"/>
      <c r="N63" s="2" t="s">
        <v>45</v>
      </c>
      <c r="O63" s="2"/>
      <c r="P63" s="2"/>
      <c r="Q63" s="2" t="n">
        <v>0</v>
      </c>
      <c r="R63" s="2" t="s">
        <v>537</v>
      </c>
      <c r="S63" s="2" t="s">
        <v>100</v>
      </c>
      <c r="T63" s="2" t="n">
        <v>675568693</v>
      </c>
    </row>
    <row r="64" customFormat="false" ht="15" hidden="false" customHeight="false" outlineLevel="0" collapsed="false">
      <c r="A64" s="2" t="s">
        <v>538</v>
      </c>
      <c r="B64" s="2" t="s">
        <v>539</v>
      </c>
      <c r="C64" s="2" t="s">
        <v>540</v>
      </c>
      <c r="D64" s="2" t="s">
        <v>541</v>
      </c>
      <c r="E64" s="2" t="s">
        <v>542</v>
      </c>
      <c r="F64" s="2" t="s">
        <v>405</v>
      </c>
      <c r="G64" s="2" t="s">
        <v>26</v>
      </c>
      <c r="H64" s="2" t="s">
        <v>543</v>
      </c>
      <c r="I64" s="2" t="s">
        <v>544</v>
      </c>
      <c r="J64" s="2" t="n">
        <v>1790</v>
      </c>
      <c r="K64" s="2" t="s">
        <v>42</v>
      </c>
      <c r="L64" s="5" t="s">
        <v>98</v>
      </c>
      <c r="M64" s="2"/>
      <c r="N64" s="2" t="s">
        <v>45</v>
      </c>
      <c r="O64" s="2"/>
      <c r="P64" s="2"/>
      <c r="Q64" s="2" t="n">
        <v>0</v>
      </c>
      <c r="R64" s="2" t="s">
        <v>545</v>
      </c>
      <c r="S64" s="2" t="s">
        <v>100</v>
      </c>
      <c r="T64" s="2" t="n">
        <v>675568687</v>
      </c>
    </row>
    <row r="65" customFormat="false" ht="15" hidden="false" customHeight="false" outlineLevel="0" collapsed="false">
      <c r="A65" s="2" t="s">
        <v>546</v>
      </c>
      <c r="B65" s="2" t="s">
        <v>547</v>
      </c>
      <c r="C65" s="2" t="s">
        <v>103</v>
      </c>
      <c r="D65" s="2" t="s">
        <v>548</v>
      </c>
      <c r="E65" s="2" t="s">
        <v>549</v>
      </c>
      <c r="F65" s="2" t="s">
        <v>550</v>
      </c>
      <c r="G65" s="2" t="s">
        <v>26</v>
      </c>
      <c r="H65" s="2" t="s">
        <v>551</v>
      </c>
      <c r="I65" s="2" t="s">
        <v>552</v>
      </c>
      <c r="J65" s="2" t="n">
        <v>895</v>
      </c>
      <c r="K65" s="2" t="s">
        <v>42</v>
      </c>
      <c r="L65" s="5" t="s">
        <v>98</v>
      </c>
      <c r="M65" s="2"/>
      <c r="N65" s="2" t="s">
        <v>31</v>
      </c>
      <c r="O65" s="2"/>
      <c r="P65" s="2"/>
      <c r="Q65" s="2" t="n">
        <v>0</v>
      </c>
      <c r="R65" s="2" t="s">
        <v>553</v>
      </c>
      <c r="S65" s="2" t="s">
        <v>110</v>
      </c>
      <c r="T65" s="2" t="n">
        <v>675569175</v>
      </c>
    </row>
    <row r="66" customFormat="false" ht="15" hidden="false" customHeight="false" outlineLevel="0" collapsed="false">
      <c r="A66" s="2" t="s">
        <v>554</v>
      </c>
      <c r="B66" s="2" t="s">
        <v>555</v>
      </c>
      <c r="C66" s="2" t="s">
        <v>556</v>
      </c>
      <c r="D66" s="2" t="s">
        <v>557</v>
      </c>
      <c r="E66" s="2" t="s">
        <v>558</v>
      </c>
      <c r="F66" s="2" t="s">
        <v>559</v>
      </c>
      <c r="G66" s="2" t="s">
        <v>26</v>
      </c>
      <c r="H66" s="2"/>
      <c r="I66" s="2" t="s">
        <v>560</v>
      </c>
      <c r="J66" s="2" t="n">
        <v>708</v>
      </c>
      <c r="K66" s="2" t="s">
        <v>42</v>
      </c>
      <c r="L66" s="5" t="s">
        <v>98</v>
      </c>
      <c r="M66" s="2"/>
      <c r="N66" s="2" t="s">
        <v>55</v>
      </c>
      <c r="O66" s="2"/>
      <c r="P66" s="2"/>
      <c r="Q66" s="2" t="n">
        <v>0</v>
      </c>
      <c r="R66" s="2" t="s">
        <v>561</v>
      </c>
      <c r="S66" s="2" t="s">
        <v>100</v>
      </c>
      <c r="T66" s="2" t="n">
        <v>675568283</v>
      </c>
    </row>
    <row r="67" customFormat="false" ht="15" hidden="false" customHeight="false" outlineLevel="0" collapsed="false">
      <c r="A67" s="2" t="s">
        <v>562</v>
      </c>
      <c r="B67" s="2" t="s">
        <v>563</v>
      </c>
      <c r="C67" s="2" t="s">
        <v>103</v>
      </c>
      <c r="D67" s="2" t="s">
        <v>104</v>
      </c>
      <c r="E67" s="6" t="s">
        <v>564</v>
      </c>
      <c r="F67" s="2" t="s">
        <v>565</v>
      </c>
      <c r="G67" s="2" t="s">
        <v>26</v>
      </c>
      <c r="H67" s="2" t="s">
        <v>566</v>
      </c>
      <c r="I67" s="2" t="s">
        <v>567</v>
      </c>
      <c r="J67" s="2" t="n">
        <v>1447</v>
      </c>
      <c r="K67" s="2" t="s">
        <v>42</v>
      </c>
      <c r="L67" s="5" t="s">
        <v>98</v>
      </c>
      <c r="M67" s="2"/>
      <c r="N67" s="2" t="s">
        <v>31</v>
      </c>
      <c r="O67" s="2"/>
      <c r="P67" s="2"/>
      <c r="Q67" s="2" t="n">
        <v>0</v>
      </c>
      <c r="R67" s="2" t="s">
        <v>568</v>
      </c>
      <c r="S67" s="2" t="s">
        <v>110</v>
      </c>
      <c r="T67" s="2" t="n">
        <v>675569156</v>
      </c>
    </row>
    <row r="68" customFormat="false" ht="15" hidden="false" customHeight="false" outlineLevel="0" collapsed="false">
      <c r="A68" s="2" t="s">
        <v>569</v>
      </c>
      <c r="B68" s="2" t="s">
        <v>570</v>
      </c>
      <c r="C68" s="2" t="s">
        <v>571</v>
      </c>
      <c r="D68" s="2" t="s">
        <v>572</v>
      </c>
      <c r="E68" s="2" t="s">
        <v>573</v>
      </c>
      <c r="F68" s="2" t="s">
        <v>26</v>
      </c>
      <c r="G68" s="2" t="s">
        <v>26</v>
      </c>
      <c r="H68" s="2" t="s">
        <v>574</v>
      </c>
      <c r="I68" s="2" t="s">
        <v>575</v>
      </c>
      <c r="J68" s="2" t="n">
        <v>2750</v>
      </c>
      <c r="K68" s="2" t="s">
        <v>29</v>
      </c>
      <c r="L68" s="5" t="s">
        <v>98</v>
      </c>
      <c r="M68" s="2"/>
      <c r="N68" s="2" t="s">
        <v>45</v>
      </c>
      <c r="O68" s="2"/>
      <c r="P68" s="2"/>
      <c r="Q68" s="2" t="n">
        <v>0</v>
      </c>
      <c r="R68" s="2" t="s">
        <v>576</v>
      </c>
      <c r="S68" s="2" t="s">
        <v>100</v>
      </c>
      <c r="T68" s="2" t="n">
        <v>675568683</v>
      </c>
    </row>
    <row r="69" customFormat="false" ht="15" hidden="false" customHeight="false" outlineLevel="0" collapsed="false">
      <c r="A69" s="2" t="s">
        <v>577</v>
      </c>
      <c r="B69" s="2" t="s">
        <v>578</v>
      </c>
      <c r="C69" s="2" t="s">
        <v>22</v>
      </c>
      <c r="D69" s="2" t="s">
        <v>579</v>
      </c>
      <c r="E69" s="2" t="s">
        <v>580</v>
      </c>
      <c r="F69" s="2" t="s">
        <v>581</v>
      </c>
      <c r="G69" s="2" t="s">
        <v>26</v>
      </c>
      <c r="H69" s="2"/>
      <c r="I69" s="2" t="s">
        <v>582</v>
      </c>
      <c r="J69" s="2" t="n">
        <v>500</v>
      </c>
      <c r="K69" s="2" t="s">
        <v>42</v>
      </c>
      <c r="L69" s="7" t="s">
        <v>583</v>
      </c>
      <c r="M69" s="2"/>
      <c r="N69" s="2"/>
      <c r="O69" s="2"/>
      <c r="P69" s="2"/>
      <c r="Q69" s="2" t="n">
        <v>0</v>
      </c>
      <c r="R69" s="2"/>
      <c r="S69" s="2"/>
      <c r="T69" s="2" t="n">
        <v>675569494</v>
      </c>
    </row>
    <row r="70" customFormat="false" ht="15" hidden="false" customHeight="false" outlineLevel="0" collapsed="false">
      <c r="A70" s="2" t="s">
        <v>584</v>
      </c>
      <c r="B70" s="2" t="s">
        <v>585</v>
      </c>
      <c r="C70" s="2" t="s">
        <v>586</v>
      </c>
      <c r="D70" s="2" t="s">
        <v>587</v>
      </c>
      <c r="E70" s="2" t="s">
        <v>588</v>
      </c>
      <c r="F70" s="2" t="s">
        <v>106</v>
      </c>
      <c r="G70" s="2" t="s">
        <v>26</v>
      </c>
      <c r="H70" s="2" t="s">
        <v>589</v>
      </c>
      <c r="I70" s="2" t="s">
        <v>590</v>
      </c>
      <c r="J70" s="2" t="n">
        <v>500</v>
      </c>
      <c r="K70" s="2" t="s">
        <v>29</v>
      </c>
      <c r="L70" s="7" t="s">
        <v>583</v>
      </c>
      <c r="M70" s="2"/>
      <c r="N70" s="2"/>
      <c r="O70" s="2"/>
      <c r="P70" s="2"/>
      <c r="Q70" s="2" t="n">
        <v>0</v>
      </c>
      <c r="R70" s="2"/>
      <c r="S70" s="2"/>
      <c r="T70" s="2" t="n">
        <v>675569508</v>
      </c>
    </row>
    <row r="71" customFormat="false" ht="15" hidden="false" customHeight="false" outlineLevel="0" collapsed="false">
      <c r="A71" s="2" t="s">
        <v>591</v>
      </c>
      <c r="B71" s="2" t="s">
        <v>592</v>
      </c>
      <c r="C71" s="2" t="s">
        <v>593</v>
      </c>
      <c r="D71" s="2" t="s">
        <v>104</v>
      </c>
      <c r="E71" s="2" t="s">
        <v>594</v>
      </c>
      <c r="F71" s="2" t="s">
        <v>154</v>
      </c>
      <c r="G71" s="2" t="s">
        <v>26</v>
      </c>
      <c r="H71" s="2" t="s">
        <v>595</v>
      </c>
      <c r="I71" s="2" t="s">
        <v>596</v>
      </c>
      <c r="J71" s="2" t="n">
        <v>2945</v>
      </c>
      <c r="K71" s="2" t="s">
        <v>29</v>
      </c>
      <c r="L71" s="7" t="s">
        <v>583</v>
      </c>
      <c r="M71" s="2"/>
      <c r="N71" s="2"/>
      <c r="O71" s="2"/>
      <c r="P71" s="2"/>
      <c r="Q71" s="2" t="n">
        <v>0</v>
      </c>
      <c r="R71" s="2"/>
      <c r="S71" s="2"/>
      <c r="T71" s="2" t="n">
        <v>675569495</v>
      </c>
    </row>
    <row r="72" customFormat="false" ht="15" hidden="false" customHeight="false" outlineLevel="0" collapsed="false">
      <c r="A72" s="2" t="s">
        <v>167</v>
      </c>
      <c r="B72" s="2" t="s">
        <v>597</v>
      </c>
      <c r="C72" s="2" t="s">
        <v>598</v>
      </c>
      <c r="D72" s="2" t="s">
        <v>599</v>
      </c>
      <c r="E72" s="2" t="s">
        <v>600</v>
      </c>
      <c r="F72" s="2" t="s">
        <v>601</v>
      </c>
      <c r="G72" s="2" t="s">
        <v>26</v>
      </c>
      <c r="H72" s="2" t="s">
        <v>602</v>
      </c>
      <c r="I72" s="2" t="s">
        <v>603</v>
      </c>
      <c r="J72" s="2" t="n">
        <v>4364</v>
      </c>
      <c r="K72" s="2" t="s">
        <v>42</v>
      </c>
      <c r="L72" s="7" t="s">
        <v>583</v>
      </c>
      <c r="M72" s="2"/>
      <c r="N72" s="2"/>
      <c r="O72" s="2"/>
      <c r="P72" s="2"/>
      <c r="Q72" s="2" t="n">
        <v>0</v>
      </c>
      <c r="R72" s="2"/>
      <c r="S72" s="2"/>
      <c r="T72" s="2" t="n">
        <v>675569497</v>
      </c>
    </row>
    <row r="73" customFormat="false" ht="15" hidden="false" customHeight="false" outlineLevel="0" collapsed="false">
      <c r="A73" s="2" t="s">
        <v>211</v>
      </c>
      <c r="B73" s="2" t="s">
        <v>604</v>
      </c>
      <c r="C73" s="2" t="s">
        <v>605</v>
      </c>
      <c r="D73" s="2" t="s">
        <v>606</v>
      </c>
      <c r="E73" s="2" t="s">
        <v>607</v>
      </c>
      <c r="F73" s="2" t="s">
        <v>608</v>
      </c>
      <c r="G73" s="2" t="s">
        <v>26</v>
      </c>
      <c r="H73" s="2" t="s">
        <v>609</v>
      </c>
      <c r="I73" s="2" t="s">
        <v>610</v>
      </c>
      <c r="J73" s="2" t="n">
        <v>2871</v>
      </c>
      <c r="K73" s="2" t="s">
        <v>42</v>
      </c>
      <c r="L73" s="7" t="s">
        <v>583</v>
      </c>
      <c r="M73" s="2"/>
      <c r="N73" s="2"/>
      <c r="O73" s="2"/>
      <c r="P73" s="2"/>
      <c r="Q73" s="2" t="n">
        <v>0</v>
      </c>
      <c r="R73" s="2"/>
      <c r="S73" s="2"/>
      <c r="T73" s="2" t="n">
        <v>675569515</v>
      </c>
    </row>
    <row r="74" customFormat="false" ht="15" hidden="false" customHeight="false" outlineLevel="0" collapsed="false">
      <c r="A74" s="2" t="s">
        <v>150</v>
      </c>
      <c r="B74" s="2" t="s">
        <v>611</v>
      </c>
      <c r="C74" s="2" t="s">
        <v>103</v>
      </c>
      <c r="D74" s="2" t="s">
        <v>612</v>
      </c>
      <c r="E74" s="2" t="s">
        <v>613</v>
      </c>
      <c r="F74" s="2" t="s">
        <v>142</v>
      </c>
      <c r="G74" s="2" t="s">
        <v>26</v>
      </c>
      <c r="H74" s="2" t="s">
        <v>614</v>
      </c>
      <c r="I74" s="2" t="s">
        <v>615</v>
      </c>
      <c r="J74" s="2" t="n">
        <v>4847</v>
      </c>
      <c r="K74" s="2" t="s">
        <v>29</v>
      </c>
      <c r="L74" s="7" t="s">
        <v>583</v>
      </c>
      <c r="M74" s="2"/>
      <c r="N74" s="2"/>
      <c r="O74" s="2"/>
      <c r="P74" s="2"/>
      <c r="Q74" s="2" t="n">
        <v>0</v>
      </c>
      <c r="R74" s="2"/>
      <c r="S74" s="2"/>
      <c r="T74" s="2" t="n">
        <v>675569504</v>
      </c>
    </row>
    <row r="75" customFormat="false" ht="15" hidden="false" customHeight="false" outlineLevel="0" collapsed="false">
      <c r="A75" s="2" t="s">
        <v>616</v>
      </c>
      <c r="B75" s="2" t="s">
        <v>617</v>
      </c>
      <c r="C75" s="2" t="s">
        <v>618</v>
      </c>
      <c r="D75" s="2" t="s">
        <v>619</v>
      </c>
      <c r="E75" s="2" t="s">
        <v>620</v>
      </c>
      <c r="F75" s="2" t="s">
        <v>621</v>
      </c>
      <c r="G75" s="2" t="s">
        <v>26</v>
      </c>
      <c r="H75" s="2" t="s">
        <v>622</v>
      </c>
      <c r="I75" s="2" t="s">
        <v>623</v>
      </c>
      <c r="J75" s="2" t="n">
        <v>1262</v>
      </c>
      <c r="K75" s="2" t="s">
        <v>42</v>
      </c>
      <c r="L75" s="7" t="s">
        <v>583</v>
      </c>
      <c r="M75" s="2"/>
      <c r="N75" s="2"/>
      <c r="O75" s="2"/>
      <c r="P75" s="2"/>
      <c r="Q75" s="2" t="n">
        <v>0</v>
      </c>
      <c r="R75" s="2"/>
      <c r="S75" s="2"/>
      <c r="T75" s="2" t="n">
        <v>675569491</v>
      </c>
    </row>
    <row r="76" customFormat="false" ht="15" hidden="false" customHeight="false" outlineLevel="0" collapsed="false">
      <c r="A76" s="2" t="s">
        <v>624</v>
      </c>
      <c r="B76" s="2" t="s">
        <v>625</v>
      </c>
      <c r="C76" s="2" t="s">
        <v>626</v>
      </c>
      <c r="D76" s="2"/>
      <c r="E76" s="6" t="s">
        <v>627</v>
      </c>
      <c r="F76" s="2" t="s">
        <v>324</v>
      </c>
      <c r="G76" s="2" t="s">
        <v>26</v>
      </c>
      <c r="H76" s="2" t="s">
        <v>628</v>
      </c>
      <c r="I76" s="2" t="s">
        <v>629</v>
      </c>
      <c r="J76" s="2" t="n">
        <v>311</v>
      </c>
      <c r="K76" s="2" t="s">
        <v>42</v>
      </c>
      <c r="L76" s="7" t="s">
        <v>583</v>
      </c>
      <c r="M76" s="2"/>
      <c r="N76" s="2"/>
      <c r="O76" s="2"/>
      <c r="P76" s="2"/>
      <c r="Q76" s="2" t="n">
        <v>0</v>
      </c>
      <c r="R76" s="2"/>
      <c r="S76" s="2"/>
      <c r="T76" s="2" t="n">
        <v>675569864</v>
      </c>
    </row>
    <row r="77" customFormat="false" ht="15" hidden="false" customHeight="false" outlineLevel="0" collapsed="false">
      <c r="A77" s="2" t="s">
        <v>630</v>
      </c>
      <c r="B77" s="2" t="s">
        <v>631</v>
      </c>
      <c r="C77" s="2" t="s">
        <v>632</v>
      </c>
      <c r="D77" s="2"/>
      <c r="E77" s="2" t="s">
        <v>633</v>
      </c>
      <c r="F77" s="2" t="s">
        <v>198</v>
      </c>
      <c r="G77" s="2"/>
      <c r="H77" s="2" t="s">
        <v>634</v>
      </c>
      <c r="I77" s="2" t="s">
        <v>635</v>
      </c>
      <c r="J77" s="2" t="n">
        <v>500</v>
      </c>
      <c r="K77" s="2" t="s">
        <v>42</v>
      </c>
      <c r="L77" s="7" t="s">
        <v>583</v>
      </c>
      <c r="M77" s="2"/>
      <c r="N77" s="2"/>
      <c r="O77" s="2"/>
      <c r="P77" s="2"/>
      <c r="Q77" s="2" t="n">
        <v>0</v>
      </c>
      <c r="R77" s="2"/>
      <c r="S77" s="2"/>
      <c r="T77" s="2" t="n">
        <v>675569492</v>
      </c>
    </row>
    <row r="78" customFormat="false" ht="15" hidden="false" customHeight="false" outlineLevel="0" collapsed="false">
      <c r="A78" s="2" t="s">
        <v>636</v>
      </c>
      <c r="B78" s="2" t="s">
        <v>637</v>
      </c>
      <c r="C78" s="2" t="s">
        <v>638</v>
      </c>
      <c r="D78" s="2" t="s">
        <v>639</v>
      </c>
      <c r="E78" s="2" t="s">
        <v>640</v>
      </c>
      <c r="F78" s="2" t="s">
        <v>26</v>
      </c>
      <c r="G78" s="2" t="s">
        <v>26</v>
      </c>
      <c r="H78" s="2" t="s">
        <v>641</v>
      </c>
      <c r="I78" s="2" t="s">
        <v>642</v>
      </c>
      <c r="J78" s="2" t="n">
        <v>1266</v>
      </c>
      <c r="K78" s="2" t="s">
        <v>42</v>
      </c>
      <c r="L78" s="7" t="s">
        <v>583</v>
      </c>
      <c r="M78" s="2"/>
      <c r="N78" s="2"/>
      <c r="O78" s="2"/>
      <c r="P78" s="2"/>
      <c r="Q78" s="2" t="n">
        <v>0</v>
      </c>
      <c r="R78" s="2"/>
      <c r="S78" s="2"/>
      <c r="T78" s="2" t="n">
        <v>675569866</v>
      </c>
    </row>
    <row r="79" customFormat="false" ht="15" hidden="false" customHeight="false" outlineLevel="0" collapsed="false">
      <c r="A79" s="2" t="s">
        <v>643</v>
      </c>
      <c r="B79" s="2" t="s">
        <v>644</v>
      </c>
      <c r="C79" s="2" t="s">
        <v>645</v>
      </c>
      <c r="D79" s="2"/>
      <c r="E79" s="2" t="s">
        <v>646</v>
      </c>
      <c r="F79" s="2" t="s">
        <v>142</v>
      </c>
      <c r="G79" s="2" t="s">
        <v>26</v>
      </c>
      <c r="H79" s="2" t="s">
        <v>647</v>
      </c>
      <c r="I79" s="2" t="s">
        <v>648</v>
      </c>
      <c r="J79" s="2" t="n">
        <v>500</v>
      </c>
      <c r="K79" s="2" t="s">
        <v>29</v>
      </c>
      <c r="L79" s="7" t="s">
        <v>583</v>
      </c>
      <c r="M79" s="2"/>
      <c r="N79" s="2"/>
      <c r="O79" s="2"/>
      <c r="P79" s="2"/>
      <c r="Q79" s="2" t="n">
        <v>0</v>
      </c>
      <c r="R79" s="2"/>
      <c r="S79" s="2"/>
      <c r="T79" s="2" t="n">
        <v>675569862</v>
      </c>
    </row>
    <row r="80" customFormat="false" ht="15" hidden="false" customHeight="false" outlineLevel="0" collapsed="false">
      <c r="A80" s="2" t="s">
        <v>649</v>
      </c>
      <c r="B80" s="2" t="s">
        <v>650</v>
      </c>
      <c r="C80" s="2" t="s">
        <v>651</v>
      </c>
      <c r="D80" s="2" t="s">
        <v>652</v>
      </c>
      <c r="E80" s="2" t="s">
        <v>153</v>
      </c>
      <c r="F80" s="2" t="s">
        <v>653</v>
      </c>
      <c r="G80" s="2"/>
      <c r="H80" s="2"/>
      <c r="I80" s="2" t="s">
        <v>654</v>
      </c>
      <c r="J80" s="2" t="n">
        <v>0</v>
      </c>
      <c r="K80" s="2" t="s">
        <v>29</v>
      </c>
      <c r="L80" s="7" t="s">
        <v>583</v>
      </c>
      <c r="M80" s="2"/>
      <c r="N80" s="2"/>
      <c r="O80" s="2"/>
      <c r="P80" s="2"/>
      <c r="Q80" s="2" t="n">
        <v>0</v>
      </c>
      <c r="R80" s="2"/>
      <c r="S80" s="2"/>
      <c r="T80" s="2" t="n">
        <v>675569498</v>
      </c>
    </row>
    <row r="81" customFormat="false" ht="15" hidden="false" customHeight="false" outlineLevel="0" collapsed="false">
      <c r="A81" s="2" t="s">
        <v>655</v>
      </c>
      <c r="B81" s="2" t="s">
        <v>656</v>
      </c>
      <c r="C81" s="2" t="s">
        <v>657</v>
      </c>
      <c r="D81" s="2" t="s">
        <v>658</v>
      </c>
      <c r="E81" s="2" t="s">
        <v>659</v>
      </c>
      <c r="F81" s="2" t="s">
        <v>660</v>
      </c>
      <c r="G81" s="2" t="s">
        <v>26</v>
      </c>
      <c r="H81" s="2" t="s">
        <v>661</v>
      </c>
      <c r="I81" s="2" t="s">
        <v>662</v>
      </c>
      <c r="J81" s="2" t="n">
        <v>500</v>
      </c>
      <c r="K81" s="2" t="s">
        <v>42</v>
      </c>
      <c r="L81" s="7" t="s">
        <v>583</v>
      </c>
      <c r="M81" s="2"/>
      <c r="N81" s="2"/>
      <c r="O81" s="2"/>
      <c r="P81" s="2"/>
      <c r="Q81" s="2" t="n">
        <v>0</v>
      </c>
      <c r="R81" s="2"/>
      <c r="S81" s="2"/>
      <c r="T81" s="2" t="n">
        <v>675569493</v>
      </c>
    </row>
    <row r="82" customFormat="false" ht="15" hidden="false" customHeight="false" outlineLevel="0" collapsed="false">
      <c r="A82" s="2" t="s">
        <v>663</v>
      </c>
      <c r="B82" s="2" t="s">
        <v>664</v>
      </c>
      <c r="C82" s="2" t="s">
        <v>665</v>
      </c>
      <c r="D82" s="2" t="s">
        <v>666</v>
      </c>
      <c r="E82" s="2" t="s">
        <v>667</v>
      </c>
      <c r="F82" s="2" t="s">
        <v>26</v>
      </c>
      <c r="G82" s="2" t="s">
        <v>26</v>
      </c>
      <c r="H82" s="2" t="s">
        <v>668</v>
      </c>
      <c r="I82" s="2" t="s">
        <v>669</v>
      </c>
      <c r="J82" s="2" t="n">
        <v>1743</v>
      </c>
      <c r="K82" s="2" t="s">
        <v>42</v>
      </c>
      <c r="L82" s="7" t="s">
        <v>583</v>
      </c>
      <c r="M82" s="2"/>
      <c r="N82" s="2"/>
      <c r="O82" s="2"/>
      <c r="P82" s="2"/>
      <c r="Q82" s="2" t="n">
        <v>0</v>
      </c>
      <c r="R82" s="2"/>
      <c r="S82" s="2"/>
      <c r="T82" s="2" t="n">
        <v>675569500</v>
      </c>
    </row>
    <row r="83" customFormat="false" ht="15" hidden="false" customHeight="false" outlineLevel="0" collapsed="false">
      <c r="A83" s="2" t="s">
        <v>211</v>
      </c>
      <c r="B83" s="2" t="s">
        <v>670</v>
      </c>
      <c r="C83" s="2" t="s">
        <v>671</v>
      </c>
      <c r="D83" s="2" t="s">
        <v>672</v>
      </c>
      <c r="E83" s="2" t="s">
        <v>673</v>
      </c>
      <c r="F83" s="2" t="s">
        <v>198</v>
      </c>
      <c r="G83" s="2" t="s">
        <v>26</v>
      </c>
      <c r="H83" s="2" t="s">
        <v>674</v>
      </c>
      <c r="I83" s="2" t="s">
        <v>675</v>
      </c>
      <c r="J83" s="2" t="n">
        <v>1968</v>
      </c>
      <c r="K83" s="2" t="s">
        <v>29</v>
      </c>
      <c r="L83" s="7" t="s">
        <v>583</v>
      </c>
      <c r="M83" s="2"/>
      <c r="N83" s="2"/>
      <c r="O83" s="2"/>
      <c r="P83" s="2"/>
      <c r="Q83" s="2" t="n">
        <v>0</v>
      </c>
      <c r="R83" s="2"/>
      <c r="S83" s="2"/>
      <c r="T83" s="2" t="n">
        <v>675569496</v>
      </c>
    </row>
    <row r="84" customFormat="false" ht="15" hidden="false" customHeight="false" outlineLevel="0" collapsed="false">
      <c r="A84" s="2" t="s">
        <v>676</v>
      </c>
      <c r="B84" s="2" t="s">
        <v>677</v>
      </c>
      <c r="C84" s="2" t="s">
        <v>678</v>
      </c>
      <c r="D84" s="2"/>
      <c r="E84" s="2" t="s">
        <v>679</v>
      </c>
      <c r="F84" s="2" t="s">
        <v>559</v>
      </c>
      <c r="G84" s="2" t="s">
        <v>26</v>
      </c>
      <c r="H84" s="2" t="s">
        <v>680</v>
      </c>
      <c r="I84" s="2" t="s">
        <v>681</v>
      </c>
      <c r="J84" s="2" t="n">
        <v>500</v>
      </c>
      <c r="K84" s="2" t="s">
        <v>42</v>
      </c>
      <c r="L84" s="7" t="s">
        <v>583</v>
      </c>
      <c r="M84" s="2"/>
      <c r="N84" s="2"/>
      <c r="O84" s="2"/>
      <c r="P84" s="2"/>
      <c r="Q84" s="2" t="n">
        <v>0</v>
      </c>
      <c r="R84" s="2"/>
      <c r="S84" s="2"/>
      <c r="T84" s="2" t="n">
        <v>675569499</v>
      </c>
    </row>
    <row r="85" customFormat="false" ht="15" hidden="false" customHeight="false" outlineLevel="0" collapsed="false">
      <c r="A85" s="2" t="s">
        <v>682</v>
      </c>
      <c r="B85" s="2" t="s">
        <v>683</v>
      </c>
      <c r="C85" s="2" t="s">
        <v>684</v>
      </c>
      <c r="D85" s="2" t="s">
        <v>685</v>
      </c>
      <c r="E85" s="2" t="s">
        <v>686</v>
      </c>
      <c r="F85" s="2" t="s">
        <v>198</v>
      </c>
      <c r="G85" s="2"/>
      <c r="H85" s="2"/>
      <c r="I85" s="2"/>
      <c r="J85" s="2" t="n">
        <v>0</v>
      </c>
      <c r="K85" s="2" t="s">
        <v>29</v>
      </c>
      <c r="L85" s="7" t="s">
        <v>583</v>
      </c>
      <c r="M85" s="2"/>
      <c r="N85" s="2"/>
      <c r="O85" s="2"/>
      <c r="P85" s="2"/>
      <c r="Q85" s="2" t="n">
        <v>0</v>
      </c>
      <c r="R85" s="2"/>
      <c r="S85" s="2"/>
      <c r="T85" s="2" t="n">
        <v>675569502</v>
      </c>
    </row>
    <row r="86" customFormat="false" ht="15" hidden="false" customHeight="false" outlineLevel="0" collapsed="false">
      <c r="A86" s="2" t="s">
        <v>687</v>
      </c>
      <c r="B86" s="2" t="s">
        <v>688</v>
      </c>
      <c r="C86" s="2" t="s">
        <v>684</v>
      </c>
      <c r="D86" s="2" t="s">
        <v>689</v>
      </c>
      <c r="E86" s="2" t="s">
        <v>684</v>
      </c>
      <c r="F86" s="2" t="s">
        <v>106</v>
      </c>
      <c r="G86" s="2" t="s">
        <v>26</v>
      </c>
      <c r="H86" s="2" t="s">
        <v>690</v>
      </c>
      <c r="I86" s="2" t="s">
        <v>691</v>
      </c>
      <c r="J86" s="2" t="n">
        <v>500</v>
      </c>
      <c r="K86" s="2" t="s">
        <v>29</v>
      </c>
      <c r="L86" s="7" t="s">
        <v>583</v>
      </c>
      <c r="M86" s="2"/>
      <c r="N86" s="2"/>
      <c r="O86" s="2"/>
      <c r="P86" s="2"/>
      <c r="Q86" s="2" t="n">
        <v>0</v>
      </c>
      <c r="R86" s="2"/>
      <c r="S86" s="2"/>
      <c r="T86" s="2" t="n">
        <v>675569512</v>
      </c>
    </row>
    <row r="87" customFormat="false" ht="15" hidden="false" customHeight="false" outlineLevel="0" collapsed="false">
      <c r="A87" s="2" t="s">
        <v>692</v>
      </c>
      <c r="B87" s="2" t="s">
        <v>693</v>
      </c>
      <c r="C87" s="2" t="s">
        <v>694</v>
      </c>
      <c r="D87" s="2"/>
      <c r="E87" s="2" t="s">
        <v>695</v>
      </c>
      <c r="F87" s="2" t="s">
        <v>142</v>
      </c>
      <c r="G87" s="2" t="s">
        <v>26</v>
      </c>
      <c r="H87" s="2" t="s">
        <v>696</v>
      </c>
      <c r="I87" s="2" t="s">
        <v>697</v>
      </c>
      <c r="J87" s="2" t="n">
        <v>500</v>
      </c>
      <c r="K87" s="2" t="s">
        <v>42</v>
      </c>
      <c r="L87" s="7" t="s">
        <v>583</v>
      </c>
      <c r="M87" s="2"/>
      <c r="N87" s="2"/>
      <c r="O87" s="2"/>
      <c r="P87" s="2"/>
      <c r="Q87" s="2" t="n">
        <v>0</v>
      </c>
      <c r="R87" s="2"/>
      <c r="S87" s="2"/>
      <c r="T87" s="2" t="n">
        <v>675569509</v>
      </c>
    </row>
    <row r="88" customFormat="false" ht="15" hidden="false" customHeight="false" outlineLevel="0" collapsed="false">
      <c r="A88" s="2" t="s">
        <v>698</v>
      </c>
      <c r="B88" s="2" t="s">
        <v>699</v>
      </c>
      <c r="C88" s="2" t="s">
        <v>700</v>
      </c>
      <c r="D88" s="2" t="s">
        <v>701</v>
      </c>
      <c r="E88" s="2" t="s">
        <v>702</v>
      </c>
      <c r="F88" s="2" t="s">
        <v>249</v>
      </c>
      <c r="G88" s="2" t="s">
        <v>26</v>
      </c>
      <c r="H88" s="2" t="s">
        <v>703</v>
      </c>
      <c r="I88" s="2" t="s">
        <v>704</v>
      </c>
      <c r="J88" s="2" t="n">
        <v>3783</v>
      </c>
      <c r="K88" s="2" t="s">
        <v>29</v>
      </c>
      <c r="L88" s="7" t="s">
        <v>583</v>
      </c>
      <c r="M88" s="2"/>
      <c r="N88" s="2"/>
      <c r="O88" s="2"/>
      <c r="P88" s="2"/>
      <c r="Q88" s="2" t="n">
        <v>0</v>
      </c>
      <c r="R88" s="2"/>
      <c r="S88" s="2"/>
      <c r="T88" s="2" t="n">
        <v>675569507</v>
      </c>
    </row>
    <row r="89" customFormat="false" ht="15" hidden="false" customHeight="false" outlineLevel="0" collapsed="false">
      <c r="A89" s="2" t="s">
        <v>705</v>
      </c>
      <c r="B89" s="2" t="s">
        <v>706</v>
      </c>
      <c r="C89" s="2" t="s">
        <v>177</v>
      </c>
      <c r="D89" s="2" t="s">
        <v>104</v>
      </c>
      <c r="E89" s="2" t="s">
        <v>312</v>
      </c>
      <c r="F89" s="2" t="s">
        <v>142</v>
      </c>
      <c r="G89" s="2" t="s">
        <v>26</v>
      </c>
      <c r="H89" s="2" t="s">
        <v>707</v>
      </c>
      <c r="I89" s="2" t="s">
        <v>708</v>
      </c>
      <c r="J89" s="2" t="n">
        <v>500</v>
      </c>
      <c r="K89" s="2" t="s">
        <v>29</v>
      </c>
      <c r="L89" s="7" t="s">
        <v>583</v>
      </c>
      <c r="M89" s="2"/>
      <c r="N89" s="2"/>
      <c r="O89" s="2"/>
      <c r="P89" s="2"/>
      <c r="Q89" s="2" t="n">
        <v>0</v>
      </c>
      <c r="R89" s="2"/>
      <c r="S89" s="2"/>
      <c r="T89" s="2" t="n">
        <v>675569505</v>
      </c>
    </row>
    <row r="90" customFormat="false" ht="15" hidden="false" customHeight="false" outlineLevel="0" collapsed="false">
      <c r="A90" s="2" t="s">
        <v>709</v>
      </c>
      <c r="B90" s="2" t="s">
        <v>710</v>
      </c>
      <c r="C90" s="2" t="s">
        <v>711</v>
      </c>
      <c r="D90" s="2" t="s">
        <v>712</v>
      </c>
      <c r="E90" s="2" t="s">
        <v>713</v>
      </c>
      <c r="F90" s="2" t="s">
        <v>714</v>
      </c>
      <c r="G90" s="2"/>
      <c r="H90" s="2"/>
      <c r="I90" s="2" t="s">
        <v>715</v>
      </c>
      <c r="J90" s="2" t="n">
        <v>388</v>
      </c>
      <c r="K90" s="2" t="s">
        <v>29</v>
      </c>
      <c r="L90" s="7" t="s">
        <v>583</v>
      </c>
      <c r="M90" s="2"/>
      <c r="N90" s="2"/>
      <c r="O90" s="2"/>
      <c r="P90" s="2"/>
      <c r="Q90" s="2" t="n">
        <v>0</v>
      </c>
      <c r="R90" s="2"/>
      <c r="S90" s="2"/>
      <c r="T90" s="2" t="n">
        <v>675569510</v>
      </c>
    </row>
    <row r="91" customFormat="false" ht="15" hidden="false" customHeight="false" outlineLevel="0" collapsed="false">
      <c r="A91" s="2" t="s">
        <v>716</v>
      </c>
      <c r="B91" s="2" t="s">
        <v>717</v>
      </c>
      <c r="C91" s="2" t="s">
        <v>678</v>
      </c>
      <c r="D91" s="2"/>
      <c r="E91" s="2" t="s">
        <v>718</v>
      </c>
      <c r="F91" s="2" t="s">
        <v>405</v>
      </c>
      <c r="G91" s="2" t="s">
        <v>26</v>
      </c>
      <c r="H91" s="2" t="s">
        <v>719</v>
      </c>
      <c r="I91" s="2" t="s">
        <v>720</v>
      </c>
      <c r="J91" s="2" t="n">
        <v>996</v>
      </c>
      <c r="K91" s="2" t="s">
        <v>29</v>
      </c>
      <c r="L91" s="7" t="s">
        <v>583</v>
      </c>
      <c r="M91" s="2"/>
      <c r="N91" s="2"/>
      <c r="O91" s="2"/>
      <c r="P91" s="2"/>
      <c r="Q91" s="2" t="n">
        <v>0</v>
      </c>
      <c r="R91" s="2"/>
      <c r="S91" s="2"/>
      <c r="T91" s="2" t="n">
        <v>675569511</v>
      </c>
    </row>
    <row r="92" customFormat="false" ht="15" hidden="false" customHeight="false" outlineLevel="0" collapsed="false">
      <c r="A92" s="2" t="s">
        <v>721</v>
      </c>
      <c r="B92" s="2" t="s">
        <v>722</v>
      </c>
      <c r="C92" s="2" t="s">
        <v>723</v>
      </c>
      <c r="D92" s="2" t="s">
        <v>724</v>
      </c>
      <c r="E92" s="2" t="s">
        <v>725</v>
      </c>
      <c r="F92" s="2" t="s">
        <v>726</v>
      </c>
      <c r="G92" s="2" t="s">
        <v>26</v>
      </c>
      <c r="H92" s="2"/>
      <c r="I92" s="2" t="s">
        <v>727</v>
      </c>
      <c r="J92" s="2" t="n">
        <v>1817</v>
      </c>
      <c r="K92" s="2" t="s">
        <v>42</v>
      </c>
      <c r="L92" s="7" t="s">
        <v>583</v>
      </c>
      <c r="M92" s="2"/>
      <c r="N92" s="2"/>
      <c r="O92" s="2"/>
      <c r="P92" s="2"/>
      <c r="Q92" s="2" t="n">
        <v>0</v>
      </c>
      <c r="R92" s="2"/>
      <c r="S92" s="2"/>
      <c r="T92" s="2" t="n">
        <v>675569501</v>
      </c>
    </row>
    <row r="93" customFormat="false" ht="15" hidden="false" customHeight="false" outlineLevel="0" collapsed="false">
      <c r="A93" s="2" t="s">
        <v>728</v>
      </c>
      <c r="B93" s="2" t="s">
        <v>729</v>
      </c>
      <c r="C93" s="2" t="s">
        <v>204</v>
      </c>
      <c r="D93" s="2" t="s">
        <v>730</v>
      </c>
      <c r="E93" s="2" t="s">
        <v>731</v>
      </c>
      <c r="F93" s="2" t="s">
        <v>732</v>
      </c>
      <c r="G93" s="2" t="s">
        <v>26</v>
      </c>
      <c r="H93" s="2" t="s">
        <v>733</v>
      </c>
      <c r="I93" s="2" t="s">
        <v>734</v>
      </c>
      <c r="J93" s="2" t="n">
        <v>717</v>
      </c>
      <c r="K93" s="2" t="s">
        <v>42</v>
      </c>
      <c r="L93" s="7" t="s">
        <v>583</v>
      </c>
      <c r="M93" s="2"/>
      <c r="N93" s="2"/>
      <c r="O93" s="2"/>
      <c r="P93" s="2"/>
      <c r="Q93" s="2" t="n">
        <v>0</v>
      </c>
      <c r="R93" s="2"/>
      <c r="S93" s="2"/>
      <c r="T93" s="2" t="n">
        <v>675569506</v>
      </c>
    </row>
    <row r="94" customFormat="false" ht="15" hidden="false" customHeight="false" outlineLevel="0" collapsed="false">
      <c r="A94" s="2" t="s">
        <v>735</v>
      </c>
      <c r="B94" s="2" t="s">
        <v>736</v>
      </c>
      <c r="C94" s="2" t="s">
        <v>540</v>
      </c>
      <c r="D94" s="2" t="s">
        <v>737</v>
      </c>
      <c r="E94" s="2" t="s">
        <v>738</v>
      </c>
      <c r="F94" s="2" t="s">
        <v>739</v>
      </c>
      <c r="G94" s="2"/>
      <c r="H94" s="2"/>
      <c r="I94" s="2"/>
      <c r="J94" s="2" t="n">
        <v>0</v>
      </c>
      <c r="K94" s="2" t="s">
        <v>42</v>
      </c>
      <c r="L94" s="7" t="s">
        <v>583</v>
      </c>
      <c r="M94" s="2"/>
      <c r="N94" s="2"/>
      <c r="O94" s="2"/>
      <c r="P94" s="2"/>
      <c r="Q94" s="2" t="n">
        <v>0</v>
      </c>
      <c r="R94" s="2"/>
      <c r="S94" s="2"/>
      <c r="T94" s="2" t="n">
        <v>675569503</v>
      </c>
    </row>
    <row r="95" customFormat="false" ht="15" hidden="false" customHeight="false" outlineLevel="0" collapsed="false">
      <c r="A95" s="2" t="s">
        <v>709</v>
      </c>
      <c r="B95" s="2" t="s">
        <v>740</v>
      </c>
      <c r="C95" s="2" t="s">
        <v>741</v>
      </c>
      <c r="D95" s="2" t="s">
        <v>742</v>
      </c>
      <c r="E95" s="2" t="s">
        <v>743</v>
      </c>
      <c r="F95" s="2" t="s">
        <v>350</v>
      </c>
      <c r="G95" s="2" t="s">
        <v>26</v>
      </c>
      <c r="H95" s="2" t="s">
        <v>744</v>
      </c>
      <c r="I95" s="2" t="s">
        <v>745</v>
      </c>
      <c r="J95" s="2" t="n">
        <v>491</v>
      </c>
      <c r="K95" s="2" t="s">
        <v>29</v>
      </c>
      <c r="L95" s="7" t="s">
        <v>583</v>
      </c>
      <c r="M95" s="2"/>
      <c r="N95" s="2"/>
      <c r="O95" s="2"/>
      <c r="P95" s="2"/>
      <c r="Q95" s="2" t="n">
        <v>0</v>
      </c>
      <c r="R95" s="2"/>
      <c r="S95" s="2"/>
      <c r="T95" s="2" t="n">
        <v>675569863</v>
      </c>
    </row>
    <row r="96" customFormat="false" ht="15" hidden="false" customHeight="false" outlineLevel="0" collapsed="false">
      <c r="A96" s="2" t="s">
        <v>746</v>
      </c>
      <c r="B96" s="2" t="s">
        <v>747</v>
      </c>
      <c r="C96" s="2" t="s">
        <v>748</v>
      </c>
      <c r="D96" s="2" t="s">
        <v>749</v>
      </c>
      <c r="E96" s="2" t="s">
        <v>748</v>
      </c>
      <c r="F96" s="2" t="s">
        <v>142</v>
      </c>
      <c r="G96" s="2" t="s">
        <v>26</v>
      </c>
      <c r="H96" s="2" t="s">
        <v>750</v>
      </c>
      <c r="I96" s="2" t="s">
        <v>751</v>
      </c>
      <c r="J96" s="2" t="n">
        <v>3909</v>
      </c>
      <c r="K96" s="2" t="s">
        <v>29</v>
      </c>
      <c r="L96" s="7" t="s">
        <v>583</v>
      </c>
      <c r="M96" s="2"/>
      <c r="N96" s="2"/>
      <c r="O96" s="2"/>
      <c r="P96" s="2"/>
      <c r="Q96" s="2" t="n">
        <v>0</v>
      </c>
      <c r="R96" s="2"/>
      <c r="S96" s="2"/>
      <c r="T96" s="2" t="n">
        <v>675569867</v>
      </c>
    </row>
    <row r="97" customFormat="false" ht="15" hidden="false" customHeight="false" outlineLevel="0" collapsed="false">
      <c r="A97" s="2" t="s">
        <v>752</v>
      </c>
      <c r="B97" s="2" t="s">
        <v>753</v>
      </c>
      <c r="C97" s="2" t="s">
        <v>388</v>
      </c>
      <c r="D97" s="2"/>
      <c r="E97" s="2"/>
      <c r="F97" s="2" t="s">
        <v>754</v>
      </c>
      <c r="G97" s="2"/>
      <c r="H97" s="2"/>
      <c r="I97" s="2"/>
      <c r="J97" s="2" t="n">
        <v>0</v>
      </c>
      <c r="K97" s="2" t="s">
        <v>29</v>
      </c>
      <c r="L97" s="7" t="s">
        <v>583</v>
      </c>
      <c r="M97" s="2"/>
      <c r="N97" s="2"/>
      <c r="O97" s="2"/>
      <c r="P97" s="2"/>
      <c r="Q97" s="2" t="n">
        <v>0</v>
      </c>
      <c r="R97" s="2"/>
      <c r="S97" s="2"/>
      <c r="T97" s="2" t="n">
        <v>675569514</v>
      </c>
    </row>
    <row r="98" customFormat="false" ht="15" hidden="false" customHeight="false" outlineLevel="0" collapsed="false">
      <c r="A98" s="2" t="s">
        <v>755</v>
      </c>
      <c r="B98" s="2" t="s">
        <v>756</v>
      </c>
      <c r="C98" s="2" t="s">
        <v>757</v>
      </c>
      <c r="D98" s="2"/>
      <c r="E98" s="2" t="s">
        <v>758</v>
      </c>
      <c r="F98" s="2" t="s">
        <v>142</v>
      </c>
      <c r="G98" s="2" t="s">
        <v>26</v>
      </c>
      <c r="H98" s="2" t="s">
        <v>759</v>
      </c>
      <c r="I98" s="2" t="s">
        <v>760</v>
      </c>
      <c r="J98" s="2" t="n">
        <v>5457</v>
      </c>
      <c r="K98" s="2" t="s">
        <v>29</v>
      </c>
      <c r="L98" s="7" t="s">
        <v>583</v>
      </c>
      <c r="M98" s="2"/>
      <c r="N98" s="2"/>
      <c r="O98" s="2"/>
      <c r="P98" s="2"/>
      <c r="Q98" s="2" t="n">
        <v>0</v>
      </c>
      <c r="R98" s="2"/>
      <c r="S98" s="2"/>
      <c r="T98" s="2" t="n">
        <v>675569513</v>
      </c>
    </row>
    <row r="99" customFormat="false" ht="15" hidden="false" customHeight="false" outlineLevel="0" collapsed="false">
      <c r="A99" s="2" t="s">
        <v>761</v>
      </c>
      <c r="B99" s="2" t="s">
        <v>762</v>
      </c>
      <c r="C99" s="2" t="s">
        <v>763</v>
      </c>
      <c r="D99" s="2"/>
      <c r="E99" s="2" t="s">
        <v>764</v>
      </c>
      <c r="F99" s="2" t="s">
        <v>324</v>
      </c>
      <c r="G99" s="2" t="s">
        <v>26</v>
      </c>
      <c r="H99" s="2" t="s">
        <v>765</v>
      </c>
      <c r="I99" s="2" t="s">
        <v>766</v>
      </c>
      <c r="J99" s="2" t="n">
        <v>404</v>
      </c>
      <c r="K99" s="2" t="s">
        <v>29</v>
      </c>
      <c r="L99" s="7" t="s">
        <v>583</v>
      </c>
      <c r="M99" s="2"/>
      <c r="N99" s="2"/>
      <c r="O99" s="2"/>
      <c r="P99" s="2"/>
      <c r="Q99" s="2" t="n">
        <v>0</v>
      </c>
      <c r="R99" s="2"/>
      <c r="S99" s="2"/>
      <c r="T99" s="2" t="n">
        <v>675569865</v>
      </c>
    </row>
    <row r="100" customFormat="false" ht="15" hidden="false" customHeight="false" outlineLevel="0" collapsed="false">
      <c r="A100" s="2" t="s">
        <v>767</v>
      </c>
      <c r="B100" s="2" t="s">
        <v>768</v>
      </c>
      <c r="C100" s="2" t="s">
        <v>769</v>
      </c>
      <c r="D100" s="2" t="s">
        <v>770</v>
      </c>
      <c r="E100" s="2" t="s">
        <v>771</v>
      </c>
      <c r="F100" s="2" t="s">
        <v>53</v>
      </c>
      <c r="G100" s="2" t="s">
        <v>496</v>
      </c>
      <c r="H100" s="2" t="s">
        <v>772</v>
      </c>
      <c r="I100" s="2" t="s">
        <v>773</v>
      </c>
      <c r="J100" s="2" t="n">
        <v>5061</v>
      </c>
      <c r="K100" s="2" t="s">
        <v>42</v>
      </c>
      <c r="L100" s="8" t="s">
        <v>774</v>
      </c>
      <c r="M100" s="2" t="s">
        <v>775</v>
      </c>
      <c r="N100" s="2"/>
      <c r="O100" s="2"/>
      <c r="P100" s="2"/>
      <c r="Q100" s="2" t="n">
        <v>0</v>
      </c>
      <c r="R100" s="2" t="s">
        <v>776</v>
      </c>
      <c r="S100" s="2" t="s">
        <v>777</v>
      </c>
      <c r="T100" s="2" t="n">
        <v>675567846</v>
      </c>
    </row>
    <row r="101" customFormat="false" ht="15" hidden="false" customHeight="false" outlineLevel="0" collapsed="false">
      <c r="A101" s="2" t="s">
        <v>778</v>
      </c>
      <c r="B101" s="2" t="s">
        <v>779</v>
      </c>
      <c r="C101" s="2" t="s">
        <v>50</v>
      </c>
      <c r="D101" s="2" t="s">
        <v>780</v>
      </c>
      <c r="E101" s="2" t="s">
        <v>781</v>
      </c>
      <c r="F101" s="2" t="s">
        <v>53</v>
      </c>
      <c r="G101" s="2" t="s">
        <v>26</v>
      </c>
      <c r="H101" s="2"/>
      <c r="I101" s="2" t="s">
        <v>782</v>
      </c>
      <c r="J101" s="2" t="n">
        <v>1141</v>
      </c>
      <c r="K101" s="2" t="s">
        <v>42</v>
      </c>
      <c r="L101" s="8" t="s">
        <v>774</v>
      </c>
      <c r="M101" s="2" t="s">
        <v>775</v>
      </c>
      <c r="N101" s="2"/>
      <c r="O101" s="2"/>
      <c r="P101" s="2"/>
      <c r="Q101" s="2" t="n">
        <v>0</v>
      </c>
      <c r="R101" s="2" t="s">
        <v>783</v>
      </c>
      <c r="S101" s="2" t="s">
        <v>777</v>
      </c>
      <c r="T101" s="2" t="n">
        <v>675568279</v>
      </c>
    </row>
    <row r="102" customFormat="false" ht="15" hidden="false" customHeight="false" outlineLevel="0" collapsed="false">
      <c r="A102" s="2" t="s">
        <v>150</v>
      </c>
      <c r="B102" s="2" t="s">
        <v>784</v>
      </c>
      <c r="C102" s="2" t="s">
        <v>785</v>
      </c>
      <c r="D102" s="2" t="s">
        <v>786</v>
      </c>
      <c r="E102" s="2" t="s">
        <v>787</v>
      </c>
      <c r="F102" s="2" t="s">
        <v>163</v>
      </c>
      <c r="G102" s="2" t="s">
        <v>26</v>
      </c>
      <c r="H102" s="2"/>
      <c r="I102" s="2" t="s">
        <v>788</v>
      </c>
      <c r="J102" s="2" t="n">
        <v>515</v>
      </c>
      <c r="K102" s="2" t="s">
        <v>29</v>
      </c>
      <c r="L102" s="8" t="s">
        <v>774</v>
      </c>
      <c r="M102" s="2" t="s">
        <v>775</v>
      </c>
      <c r="N102" s="2"/>
      <c r="O102" s="2"/>
      <c r="P102" s="2"/>
      <c r="Q102" s="2" t="n">
        <v>0</v>
      </c>
      <c r="R102" s="2" t="s">
        <v>789</v>
      </c>
      <c r="S102" s="2" t="s">
        <v>777</v>
      </c>
      <c r="T102" s="2" t="n">
        <v>675568681</v>
      </c>
    </row>
    <row r="103" customFormat="false" ht="15" hidden="false" customHeight="false" outlineLevel="0" collapsed="false">
      <c r="A103" s="2" t="s">
        <v>790</v>
      </c>
      <c r="B103" s="2" t="s">
        <v>791</v>
      </c>
      <c r="C103" s="2" t="s">
        <v>792</v>
      </c>
      <c r="D103" s="2" t="s">
        <v>793</v>
      </c>
      <c r="E103" s="2" t="s">
        <v>794</v>
      </c>
      <c r="F103" s="2" t="s">
        <v>795</v>
      </c>
      <c r="G103" s="2" t="s">
        <v>26</v>
      </c>
      <c r="H103" s="2" t="s">
        <v>796</v>
      </c>
      <c r="I103" s="2" t="s">
        <v>797</v>
      </c>
      <c r="J103" s="2" t="n">
        <v>1661</v>
      </c>
      <c r="K103" s="2" t="s">
        <v>42</v>
      </c>
      <c r="L103" s="8" t="s">
        <v>774</v>
      </c>
      <c r="M103" s="2" t="s">
        <v>775</v>
      </c>
      <c r="N103" s="2"/>
      <c r="O103" s="2"/>
      <c r="P103" s="2"/>
      <c r="Q103" s="2" t="n">
        <v>0</v>
      </c>
      <c r="R103" s="2" t="s">
        <v>798</v>
      </c>
      <c r="S103" s="2" t="s">
        <v>777</v>
      </c>
      <c r="T103" s="2" t="n">
        <v>675568682</v>
      </c>
    </row>
    <row r="104" customFormat="false" ht="15" hidden="false" customHeight="false" outlineLevel="0" collapsed="false">
      <c r="A104" s="2" t="s">
        <v>799</v>
      </c>
      <c r="B104" s="2" t="s">
        <v>800</v>
      </c>
      <c r="C104" s="2" t="s">
        <v>801</v>
      </c>
      <c r="D104" s="2" t="s">
        <v>802</v>
      </c>
      <c r="E104" s="2" t="s">
        <v>803</v>
      </c>
      <c r="F104" s="2" t="s">
        <v>804</v>
      </c>
      <c r="G104" s="2" t="s">
        <v>26</v>
      </c>
      <c r="H104" s="2" t="s">
        <v>805</v>
      </c>
      <c r="I104" s="2" t="s">
        <v>806</v>
      </c>
      <c r="J104" s="2" t="n">
        <v>693</v>
      </c>
      <c r="K104" s="2" t="s">
        <v>42</v>
      </c>
      <c r="L104" s="8" t="s">
        <v>774</v>
      </c>
      <c r="M104" s="2" t="s">
        <v>775</v>
      </c>
      <c r="N104" s="2"/>
      <c r="O104" s="2"/>
      <c r="P104" s="2"/>
      <c r="Q104" s="2" t="n">
        <v>0</v>
      </c>
      <c r="R104" s="2" t="s">
        <v>807</v>
      </c>
      <c r="S104" s="2" t="s">
        <v>777</v>
      </c>
      <c r="T104" s="2" t="n">
        <v>675568271</v>
      </c>
    </row>
    <row r="105" customFormat="false" ht="15" hidden="false" customHeight="false" outlineLevel="0" collapsed="false">
      <c r="A105" s="2" t="s">
        <v>808</v>
      </c>
      <c r="B105" s="2" t="s">
        <v>809</v>
      </c>
      <c r="C105" s="2" t="s">
        <v>810</v>
      </c>
      <c r="D105" s="2" t="s">
        <v>811</v>
      </c>
      <c r="E105" s="6" t="s">
        <v>812</v>
      </c>
      <c r="F105" s="2" t="s">
        <v>813</v>
      </c>
      <c r="G105" s="2" t="s">
        <v>26</v>
      </c>
      <c r="H105" s="2" t="s">
        <v>814</v>
      </c>
      <c r="I105" s="2" t="s">
        <v>815</v>
      </c>
      <c r="J105" s="2" t="n">
        <v>1173</v>
      </c>
      <c r="K105" s="2" t="s">
        <v>42</v>
      </c>
      <c r="L105" s="8" t="s">
        <v>774</v>
      </c>
      <c r="M105" s="2" t="s">
        <v>775</v>
      </c>
      <c r="N105" s="2"/>
      <c r="O105" s="2"/>
      <c r="P105" s="2"/>
      <c r="Q105" s="2" t="n">
        <v>0</v>
      </c>
      <c r="R105" s="2" t="s">
        <v>816</v>
      </c>
      <c r="S105" s="2" t="s">
        <v>777</v>
      </c>
      <c r="T105" s="2" t="n">
        <v>675567854</v>
      </c>
    </row>
    <row r="106" customFormat="false" ht="15" hidden="false" customHeight="false" outlineLevel="0" collapsed="false">
      <c r="A106" s="2" t="s">
        <v>167</v>
      </c>
      <c r="B106" s="2" t="s">
        <v>817</v>
      </c>
      <c r="C106" s="2" t="s">
        <v>818</v>
      </c>
      <c r="D106" s="2" t="s">
        <v>819</v>
      </c>
      <c r="E106" s="2" t="s">
        <v>820</v>
      </c>
      <c r="F106" s="2" t="s">
        <v>821</v>
      </c>
      <c r="G106" s="2" t="s">
        <v>26</v>
      </c>
      <c r="H106" s="2" t="s">
        <v>822</v>
      </c>
      <c r="I106" s="2" t="s">
        <v>823</v>
      </c>
      <c r="J106" s="2" t="n">
        <v>5087</v>
      </c>
      <c r="K106" s="2" t="s">
        <v>29</v>
      </c>
      <c r="L106" s="8" t="s">
        <v>774</v>
      </c>
      <c r="M106" s="2" t="s">
        <v>775</v>
      </c>
      <c r="N106" s="2"/>
      <c r="O106" s="2"/>
      <c r="P106" s="2"/>
      <c r="Q106" s="2" t="n">
        <v>0</v>
      </c>
      <c r="R106" s="2" t="s">
        <v>824</v>
      </c>
      <c r="S106" s="2" t="s">
        <v>777</v>
      </c>
      <c r="T106" s="2" t="n">
        <v>675568274</v>
      </c>
    </row>
    <row r="107" customFormat="false" ht="15" hidden="false" customHeight="false" outlineLevel="0" collapsed="false">
      <c r="A107" s="2" t="s">
        <v>825</v>
      </c>
      <c r="B107" s="2" t="s">
        <v>826</v>
      </c>
      <c r="C107" s="2" t="s">
        <v>50</v>
      </c>
      <c r="D107" s="2" t="s">
        <v>827</v>
      </c>
      <c r="E107" s="2" t="s">
        <v>828</v>
      </c>
      <c r="F107" s="2" t="s">
        <v>829</v>
      </c>
      <c r="G107" s="2" t="s">
        <v>26</v>
      </c>
      <c r="H107" s="2" t="s">
        <v>830</v>
      </c>
      <c r="I107" s="2" t="s">
        <v>831</v>
      </c>
      <c r="J107" s="2" t="n">
        <v>869</v>
      </c>
      <c r="K107" s="2" t="s">
        <v>42</v>
      </c>
      <c r="L107" s="8" t="s">
        <v>774</v>
      </c>
      <c r="M107" s="2" t="s">
        <v>775</v>
      </c>
      <c r="N107" s="2"/>
      <c r="O107" s="2"/>
      <c r="P107" s="2"/>
      <c r="Q107" s="2" t="n">
        <v>0</v>
      </c>
      <c r="R107" s="2" t="s">
        <v>832</v>
      </c>
      <c r="S107" s="2" t="s">
        <v>777</v>
      </c>
      <c r="T107" s="2" t="n">
        <v>675568277</v>
      </c>
    </row>
    <row r="108" customFormat="false" ht="15" hidden="false" customHeight="false" outlineLevel="0" collapsed="false">
      <c r="A108" s="2" t="s">
        <v>833</v>
      </c>
      <c r="B108" s="2" t="s">
        <v>834</v>
      </c>
      <c r="C108" s="2" t="s">
        <v>22</v>
      </c>
      <c r="D108" s="2" t="s">
        <v>835</v>
      </c>
      <c r="E108" s="2" t="s">
        <v>836</v>
      </c>
      <c r="F108" s="2" t="s">
        <v>837</v>
      </c>
      <c r="G108" s="2" t="s">
        <v>26</v>
      </c>
      <c r="H108" s="2" t="s">
        <v>838</v>
      </c>
      <c r="I108" s="2" t="s">
        <v>839</v>
      </c>
      <c r="J108" s="2" t="n">
        <v>6012</v>
      </c>
      <c r="K108" s="2" t="s">
        <v>42</v>
      </c>
      <c r="L108" s="8" t="s">
        <v>774</v>
      </c>
      <c r="M108" s="2" t="s">
        <v>775</v>
      </c>
      <c r="N108" s="2"/>
      <c r="O108" s="2"/>
      <c r="P108" s="2"/>
      <c r="Q108" s="2" t="n">
        <v>0</v>
      </c>
      <c r="R108" s="2" t="s">
        <v>491</v>
      </c>
      <c r="S108" s="2" t="s">
        <v>777</v>
      </c>
      <c r="T108" s="2" t="n">
        <v>675569168</v>
      </c>
    </row>
    <row r="109" customFormat="false" ht="15" hidden="false" customHeight="false" outlineLevel="0" collapsed="false">
      <c r="A109" s="2" t="s">
        <v>840</v>
      </c>
      <c r="B109" s="2" t="s">
        <v>841</v>
      </c>
      <c r="C109" s="2" t="s">
        <v>842</v>
      </c>
      <c r="D109" s="2" t="s">
        <v>843</v>
      </c>
      <c r="E109" s="2" t="s">
        <v>844</v>
      </c>
      <c r="F109" s="2" t="s">
        <v>106</v>
      </c>
      <c r="G109" s="2" t="s">
        <v>26</v>
      </c>
      <c r="H109" s="2" t="s">
        <v>845</v>
      </c>
      <c r="I109" s="2" t="s">
        <v>846</v>
      </c>
      <c r="J109" s="2" t="n">
        <v>3732</v>
      </c>
      <c r="K109" s="2" t="s">
        <v>29</v>
      </c>
      <c r="L109" s="8" t="s">
        <v>774</v>
      </c>
      <c r="M109" s="2" t="s">
        <v>775</v>
      </c>
      <c r="N109" s="2"/>
      <c r="O109" s="2"/>
      <c r="P109" s="2"/>
      <c r="Q109" s="2" t="n">
        <v>0</v>
      </c>
      <c r="R109" s="2" t="s">
        <v>847</v>
      </c>
      <c r="S109" s="2" t="s">
        <v>777</v>
      </c>
      <c r="T109" s="2" t="n">
        <v>675567856</v>
      </c>
    </row>
    <row r="110" customFormat="false" ht="15" hidden="false" customHeight="false" outlineLevel="0" collapsed="false">
      <c r="A110" s="2" t="s">
        <v>848</v>
      </c>
      <c r="B110" s="2" t="s">
        <v>849</v>
      </c>
      <c r="C110" s="2" t="s">
        <v>850</v>
      </c>
      <c r="D110" s="2" t="s">
        <v>851</v>
      </c>
      <c r="E110" s="2" t="s">
        <v>852</v>
      </c>
      <c r="F110" s="2" t="s">
        <v>106</v>
      </c>
      <c r="G110" s="2" t="s">
        <v>26</v>
      </c>
      <c r="H110" s="2" t="s">
        <v>853</v>
      </c>
      <c r="I110" s="2" t="s">
        <v>854</v>
      </c>
      <c r="J110" s="2" t="n">
        <v>4365</v>
      </c>
      <c r="K110" s="2" t="s">
        <v>42</v>
      </c>
      <c r="L110" s="8" t="s">
        <v>774</v>
      </c>
      <c r="M110" s="2" t="s">
        <v>775</v>
      </c>
      <c r="N110" s="2"/>
      <c r="O110" s="2"/>
      <c r="P110" s="2"/>
      <c r="Q110" s="2" t="n">
        <v>0</v>
      </c>
      <c r="R110" s="2" t="s">
        <v>855</v>
      </c>
      <c r="S110" s="2" t="s">
        <v>777</v>
      </c>
      <c r="T110" s="2" t="n">
        <v>675567850</v>
      </c>
    </row>
    <row r="111" customFormat="false" ht="15" hidden="false" customHeight="false" outlineLevel="0" collapsed="false">
      <c r="A111" s="2" t="s">
        <v>808</v>
      </c>
      <c r="B111" s="2" t="s">
        <v>856</v>
      </c>
      <c r="C111" s="2" t="s">
        <v>857</v>
      </c>
      <c r="D111" s="2" t="s">
        <v>858</v>
      </c>
      <c r="E111" s="2" t="s">
        <v>859</v>
      </c>
      <c r="F111" s="2" t="s">
        <v>142</v>
      </c>
      <c r="G111" s="2" t="s">
        <v>26</v>
      </c>
      <c r="H111" s="2" t="s">
        <v>860</v>
      </c>
      <c r="I111" s="2" t="s">
        <v>861</v>
      </c>
      <c r="J111" s="2" t="n">
        <v>2332</v>
      </c>
      <c r="K111" s="2" t="s">
        <v>29</v>
      </c>
      <c r="L111" s="8" t="s">
        <v>774</v>
      </c>
      <c r="M111" s="2" t="s">
        <v>775</v>
      </c>
      <c r="N111" s="2"/>
      <c r="O111" s="2"/>
      <c r="P111" s="2"/>
      <c r="Q111" s="2" t="n">
        <v>0</v>
      </c>
      <c r="R111" s="2" t="s">
        <v>862</v>
      </c>
      <c r="S111" s="2" t="s">
        <v>777</v>
      </c>
      <c r="T111" s="2" t="n">
        <v>675567861</v>
      </c>
    </row>
    <row r="112" customFormat="false" ht="15" hidden="false" customHeight="false" outlineLevel="0" collapsed="false">
      <c r="A112" s="2" t="s">
        <v>863</v>
      </c>
      <c r="B112" s="2" t="s">
        <v>864</v>
      </c>
      <c r="C112" s="2" t="s">
        <v>865</v>
      </c>
      <c r="D112" s="2" t="s">
        <v>866</v>
      </c>
      <c r="E112" s="2" t="s">
        <v>867</v>
      </c>
      <c r="F112" s="2" t="s">
        <v>366</v>
      </c>
      <c r="G112" s="2" t="s">
        <v>26</v>
      </c>
      <c r="H112" s="2" t="s">
        <v>868</v>
      </c>
      <c r="I112" s="2" t="s">
        <v>869</v>
      </c>
      <c r="J112" s="2" t="n">
        <v>5718</v>
      </c>
      <c r="K112" s="2" t="s">
        <v>42</v>
      </c>
      <c r="L112" s="8" t="s">
        <v>774</v>
      </c>
      <c r="M112" s="2" t="s">
        <v>870</v>
      </c>
      <c r="N112" s="2"/>
      <c r="O112" s="2"/>
      <c r="P112" s="2"/>
      <c r="Q112" s="2" t="n">
        <v>0</v>
      </c>
      <c r="R112" s="2" t="s">
        <v>871</v>
      </c>
      <c r="S112" s="2" t="s">
        <v>777</v>
      </c>
      <c r="T112" s="2" t="n">
        <v>675567847</v>
      </c>
    </row>
    <row r="113" customFormat="false" ht="15" hidden="false" customHeight="false" outlineLevel="0" collapsed="false">
      <c r="A113" s="2" t="s">
        <v>872</v>
      </c>
      <c r="B113" s="2" t="s">
        <v>873</v>
      </c>
      <c r="C113" s="2" t="s">
        <v>312</v>
      </c>
      <c r="D113" s="2" t="s">
        <v>606</v>
      </c>
      <c r="E113" s="2" t="s">
        <v>874</v>
      </c>
      <c r="F113" s="2" t="s">
        <v>466</v>
      </c>
      <c r="G113" s="2" t="s">
        <v>26</v>
      </c>
      <c r="H113" s="2"/>
      <c r="I113" s="2" t="s">
        <v>875</v>
      </c>
      <c r="J113" s="2" t="n">
        <v>1033</v>
      </c>
      <c r="K113" s="2" t="s">
        <v>42</v>
      </c>
      <c r="L113" s="8" t="s">
        <v>774</v>
      </c>
      <c r="M113" s="2" t="s">
        <v>775</v>
      </c>
      <c r="N113" s="2"/>
      <c r="O113" s="2"/>
      <c r="P113" s="2"/>
      <c r="Q113" s="2" t="n">
        <v>0</v>
      </c>
      <c r="R113" s="2" t="s">
        <v>876</v>
      </c>
      <c r="S113" s="2" t="s">
        <v>777</v>
      </c>
      <c r="T113" s="2" t="n">
        <v>675568692</v>
      </c>
    </row>
    <row r="114" customFormat="false" ht="15" hidden="false" customHeight="false" outlineLevel="0" collapsed="false">
      <c r="A114" s="2" t="s">
        <v>877</v>
      </c>
      <c r="B114" s="2" t="s">
        <v>878</v>
      </c>
      <c r="C114" s="2" t="s">
        <v>879</v>
      </c>
      <c r="D114" s="2" t="s">
        <v>880</v>
      </c>
      <c r="E114" s="2" t="s">
        <v>881</v>
      </c>
      <c r="F114" s="2" t="s">
        <v>882</v>
      </c>
      <c r="G114" s="2" t="s">
        <v>26</v>
      </c>
      <c r="H114" s="2"/>
      <c r="I114" s="2" t="s">
        <v>883</v>
      </c>
      <c r="J114" s="2" t="n">
        <v>60</v>
      </c>
      <c r="K114" s="2" t="s">
        <v>29</v>
      </c>
      <c r="L114" s="8" t="s">
        <v>774</v>
      </c>
      <c r="M114" s="2" t="s">
        <v>775</v>
      </c>
      <c r="N114" s="2"/>
      <c r="O114" s="2"/>
      <c r="P114" s="2"/>
      <c r="Q114" s="2" t="n">
        <v>0</v>
      </c>
      <c r="R114" s="2" t="s">
        <v>378</v>
      </c>
      <c r="S114" s="2" t="s">
        <v>777</v>
      </c>
      <c r="T114" s="2" t="n">
        <v>675568700</v>
      </c>
    </row>
    <row r="115" customFormat="false" ht="15" hidden="false" customHeight="false" outlineLevel="0" collapsed="false">
      <c r="A115" s="2" t="s">
        <v>531</v>
      </c>
      <c r="B115" s="2" t="s">
        <v>884</v>
      </c>
      <c r="C115" s="2" t="s">
        <v>347</v>
      </c>
      <c r="D115" s="2" t="s">
        <v>885</v>
      </c>
      <c r="E115" s="2" t="s">
        <v>886</v>
      </c>
      <c r="F115" s="2" t="s">
        <v>887</v>
      </c>
      <c r="G115" s="2" t="s">
        <v>26</v>
      </c>
      <c r="H115" s="2" t="s">
        <v>888</v>
      </c>
      <c r="I115" s="2" t="s">
        <v>889</v>
      </c>
      <c r="J115" s="2" t="n">
        <v>1400</v>
      </c>
      <c r="K115" s="2" t="s">
        <v>42</v>
      </c>
      <c r="L115" s="8" t="s">
        <v>774</v>
      </c>
      <c r="M115" s="2" t="s">
        <v>775</v>
      </c>
      <c r="N115" s="2"/>
      <c r="O115" s="2"/>
      <c r="P115" s="2"/>
      <c r="Q115" s="2" t="n">
        <v>0</v>
      </c>
      <c r="R115" s="2" t="s">
        <v>890</v>
      </c>
      <c r="S115" s="2" t="s">
        <v>777</v>
      </c>
      <c r="T115" s="2" t="n">
        <v>675569172</v>
      </c>
    </row>
    <row r="116" customFormat="false" ht="15" hidden="false" customHeight="false" outlineLevel="0" collapsed="false">
      <c r="A116" s="2" t="s">
        <v>891</v>
      </c>
      <c r="B116" s="2" t="s">
        <v>892</v>
      </c>
      <c r="C116" s="2" t="s">
        <v>893</v>
      </c>
      <c r="D116" s="2" t="s">
        <v>894</v>
      </c>
      <c r="E116" s="2" t="s">
        <v>895</v>
      </c>
      <c r="F116" s="2" t="s">
        <v>324</v>
      </c>
      <c r="G116" s="2" t="s">
        <v>26</v>
      </c>
      <c r="H116" s="2"/>
      <c r="I116" s="2" t="s">
        <v>896</v>
      </c>
      <c r="J116" s="2" t="n">
        <v>1743</v>
      </c>
      <c r="K116" s="2" t="s">
        <v>29</v>
      </c>
      <c r="L116" s="8" t="s">
        <v>774</v>
      </c>
      <c r="M116" s="2" t="s">
        <v>775</v>
      </c>
      <c r="N116" s="2"/>
      <c r="O116" s="2"/>
      <c r="P116" s="2"/>
      <c r="Q116" s="2" t="n">
        <v>0</v>
      </c>
      <c r="R116" s="2" t="s">
        <v>897</v>
      </c>
      <c r="S116" s="2" t="s">
        <v>777</v>
      </c>
      <c r="T116" s="2" t="n">
        <v>675567862</v>
      </c>
    </row>
    <row r="117" customFormat="false" ht="15" hidden="false" customHeight="false" outlineLevel="0" collapsed="false">
      <c r="A117" s="2" t="s">
        <v>898</v>
      </c>
      <c r="B117" s="2" t="s">
        <v>899</v>
      </c>
      <c r="C117" s="2" t="s">
        <v>50</v>
      </c>
      <c r="D117" s="2" t="s">
        <v>900</v>
      </c>
      <c r="E117" s="2" t="s">
        <v>901</v>
      </c>
      <c r="F117" s="2" t="s">
        <v>902</v>
      </c>
      <c r="G117" s="2" t="s">
        <v>26</v>
      </c>
      <c r="H117" s="2"/>
      <c r="I117" s="2" t="s">
        <v>903</v>
      </c>
      <c r="J117" s="2" t="n">
        <v>700</v>
      </c>
      <c r="K117" s="2" t="s">
        <v>42</v>
      </c>
      <c r="L117" s="8" t="s">
        <v>774</v>
      </c>
      <c r="M117" s="2" t="s">
        <v>775</v>
      </c>
      <c r="N117" s="2"/>
      <c r="O117" s="2"/>
      <c r="P117" s="2"/>
      <c r="Q117" s="2" t="n">
        <v>0</v>
      </c>
      <c r="R117" s="2" t="s">
        <v>783</v>
      </c>
      <c r="S117" s="2" t="s">
        <v>777</v>
      </c>
      <c r="T117" s="2" t="n">
        <v>675568280</v>
      </c>
    </row>
    <row r="118" customFormat="false" ht="15" hidden="false" customHeight="false" outlineLevel="0" collapsed="false">
      <c r="A118" s="2" t="s">
        <v>904</v>
      </c>
      <c r="B118" s="2" t="s">
        <v>905</v>
      </c>
      <c r="C118" s="2" t="s">
        <v>906</v>
      </c>
      <c r="D118" s="2" t="s">
        <v>907</v>
      </c>
      <c r="E118" s="2" t="s">
        <v>908</v>
      </c>
      <c r="F118" s="2" t="s">
        <v>324</v>
      </c>
      <c r="G118" s="2" t="s">
        <v>26</v>
      </c>
      <c r="H118" s="2" t="s">
        <v>909</v>
      </c>
      <c r="I118" s="2" t="s">
        <v>910</v>
      </c>
      <c r="J118" s="2" t="n">
        <v>29448</v>
      </c>
      <c r="K118" s="2" t="s">
        <v>42</v>
      </c>
      <c r="L118" s="8" t="s">
        <v>774</v>
      </c>
      <c r="M118" s="2" t="s">
        <v>775</v>
      </c>
      <c r="N118" s="2"/>
      <c r="O118" s="2"/>
      <c r="P118" s="2"/>
      <c r="Q118" s="2" t="n">
        <v>0</v>
      </c>
      <c r="R118" s="2" t="s">
        <v>871</v>
      </c>
      <c r="S118" s="2" t="s">
        <v>777</v>
      </c>
      <c r="T118" s="2" t="n">
        <v>675567848</v>
      </c>
    </row>
    <row r="119" customFormat="false" ht="15" hidden="false" customHeight="false" outlineLevel="0" collapsed="false">
      <c r="A119" s="2" t="s">
        <v>911</v>
      </c>
      <c r="B119" s="2" t="s">
        <v>912</v>
      </c>
      <c r="C119" s="2" t="s">
        <v>913</v>
      </c>
      <c r="D119" s="2" t="s">
        <v>914</v>
      </c>
      <c r="E119" s="2" t="s">
        <v>915</v>
      </c>
      <c r="F119" s="2" t="s">
        <v>26</v>
      </c>
      <c r="G119" s="2" t="s">
        <v>26</v>
      </c>
      <c r="H119" s="2" t="s">
        <v>916</v>
      </c>
      <c r="I119" s="2" t="s">
        <v>917</v>
      </c>
      <c r="J119" s="2" t="n">
        <v>1390</v>
      </c>
      <c r="K119" s="2" t="s">
        <v>42</v>
      </c>
      <c r="L119" s="8" t="s">
        <v>774</v>
      </c>
      <c r="M119" s="2" t="s">
        <v>775</v>
      </c>
      <c r="N119" s="2"/>
      <c r="O119" s="2"/>
      <c r="P119" s="2"/>
      <c r="Q119" s="2" t="n">
        <v>0</v>
      </c>
      <c r="R119" s="2" t="s">
        <v>918</v>
      </c>
      <c r="S119" s="2" t="s">
        <v>777</v>
      </c>
      <c r="T119" s="2" t="n">
        <v>675568685</v>
      </c>
    </row>
    <row r="120" customFormat="false" ht="15" hidden="false" customHeight="false" outlineLevel="0" collapsed="false">
      <c r="A120" s="2" t="s">
        <v>345</v>
      </c>
      <c r="B120" s="2" t="s">
        <v>919</v>
      </c>
      <c r="C120" s="2" t="s">
        <v>122</v>
      </c>
      <c r="D120" s="2" t="s">
        <v>920</v>
      </c>
      <c r="E120" s="2" t="s">
        <v>122</v>
      </c>
      <c r="F120" s="2" t="s">
        <v>581</v>
      </c>
      <c r="G120" s="2" t="s">
        <v>26</v>
      </c>
      <c r="H120" s="2" t="s">
        <v>921</v>
      </c>
      <c r="I120" s="2" t="s">
        <v>922</v>
      </c>
      <c r="J120" s="2" t="n">
        <v>880</v>
      </c>
      <c r="K120" s="2" t="s">
        <v>42</v>
      </c>
      <c r="L120" s="8" t="s">
        <v>774</v>
      </c>
      <c r="M120" s="2" t="s">
        <v>775</v>
      </c>
      <c r="N120" s="2"/>
      <c r="O120" s="2"/>
      <c r="P120" s="2"/>
      <c r="Q120" s="2" t="n">
        <v>0</v>
      </c>
      <c r="R120" s="2" t="s">
        <v>923</v>
      </c>
      <c r="S120" s="2" t="s">
        <v>777</v>
      </c>
      <c r="T120" s="2" t="n">
        <v>675569173</v>
      </c>
    </row>
    <row r="121" customFormat="false" ht="15" hidden="false" customHeight="false" outlineLevel="0" collapsed="false">
      <c r="A121" s="2" t="s">
        <v>924</v>
      </c>
      <c r="B121" s="2" t="s">
        <v>925</v>
      </c>
      <c r="C121" s="2" t="s">
        <v>926</v>
      </c>
      <c r="D121" s="2" t="s">
        <v>927</v>
      </c>
      <c r="E121" s="2" t="s">
        <v>928</v>
      </c>
      <c r="F121" s="2" t="s">
        <v>142</v>
      </c>
      <c r="G121" s="2" t="s">
        <v>26</v>
      </c>
      <c r="H121" s="2" t="s">
        <v>929</v>
      </c>
      <c r="I121" s="2" t="s">
        <v>930</v>
      </c>
      <c r="J121" s="2" t="n">
        <v>565</v>
      </c>
      <c r="K121" s="2" t="s">
        <v>29</v>
      </c>
      <c r="L121" s="8" t="s">
        <v>774</v>
      </c>
      <c r="M121" s="2" t="s">
        <v>775</v>
      </c>
      <c r="N121" s="2"/>
      <c r="O121" s="2"/>
      <c r="P121" s="2"/>
      <c r="Q121" s="2" t="n">
        <v>0</v>
      </c>
      <c r="R121" s="2" t="s">
        <v>816</v>
      </c>
      <c r="S121" s="2" t="s">
        <v>777</v>
      </c>
      <c r="T121" s="2" t="n">
        <v>675567855</v>
      </c>
    </row>
    <row r="122" customFormat="false" ht="15" hidden="false" customHeight="false" outlineLevel="0" collapsed="false">
      <c r="A122" s="2" t="s">
        <v>655</v>
      </c>
      <c r="B122" s="2" t="s">
        <v>931</v>
      </c>
      <c r="C122" s="2" t="s">
        <v>932</v>
      </c>
      <c r="D122" s="2" t="s">
        <v>933</v>
      </c>
      <c r="E122" s="2" t="s">
        <v>934</v>
      </c>
      <c r="F122" s="2" t="s">
        <v>505</v>
      </c>
      <c r="G122" s="2" t="s">
        <v>26</v>
      </c>
      <c r="H122" s="2" t="s">
        <v>935</v>
      </c>
      <c r="I122" s="2" t="s">
        <v>936</v>
      </c>
      <c r="J122" s="2" t="n">
        <v>6278</v>
      </c>
      <c r="K122" s="2" t="s">
        <v>42</v>
      </c>
      <c r="L122" s="8" t="s">
        <v>774</v>
      </c>
      <c r="M122" s="2" t="s">
        <v>775</v>
      </c>
      <c r="N122" s="2"/>
      <c r="O122" s="2"/>
      <c r="P122" s="2"/>
      <c r="Q122" s="2" t="n">
        <v>0</v>
      </c>
      <c r="R122" s="2" t="s">
        <v>937</v>
      </c>
      <c r="S122" s="2" t="s">
        <v>777</v>
      </c>
      <c r="T122" s="2" t="n">
        <v>675567852</v>
      </c>
    </row>
    <row r="123" customFormat="false" ht="15" hidden="false" customHeight="false" outlineLevel="0" collapsed="false">
      <c r="A123" s="2" t="s">
        <v>938</v>
      </c>
      <c r="B123" s="2" t="s">
        <v>433</v>
      </c>
      <c r="C123" s="2" t="s">
        <v>50</v>
      </c>
      <c r="D123" s="2" t="s">
        <v>939</v>
      </c>
      <c r="E123" s="2" t="s">
        <v>940</v>
      </c>
      <c r="F123" s="2" t="s">
        <v>26</v>
      </c>
      <c r="G123" s="2" t="s">
        <v>26</v>
      </c>
      <c r="H123" s="2"/>
      <c r="I123" s="2" t="s">
        <v>941</v>
      </c>
      <c r="J123" s="2" t="n">
        <v>982</v>
      </c>
      <c r="K123" s="2" t="s">
        <v>42</v>
      </c>
      <c r="L123" s="8" t="s">
        <v>774</v>
      </c>
      <c r="M123" s="2" t="s">
        <v>870</v>
      </c>
      <c r="N123" s="2"/>
      <c r="O123" s="2"/>
      <c r="P123" s="2"/>
      <c r="Q123" s="2" t="n">
        <v>0</v>
      </c>
      <c r="R123" s="2" t="s">
        <v>942</v>
      </c>
      <c r="S123" s="2" t="s">
        <v>777</v>
      </c>
      <c r="T123" s="2" t="n">
        <v>675568269</v>
      </c>
    </row>
    <row r="124" customFormat="false" ht="15" hidden="false" customHeight="false" outlineLevel="0" collapsed="false">
      <c r="A124" s="2" t="s">
        <v>943</v>
      </c>
      <c r="B124" s="2" t="s">
        <v>944</v>
      </c>
      <c r="C124" s="2" t="s">
        <v>945</v>
      </c>
      <c r="D124" s="2" t="s">
        <v>946</v>
      </c>
      <c r="E124" s="2" t="s">
        <v>947</v>
      </c>
      <c r="F124" s="2" t="s">
        <v>281</v>
      </c>
      <c r="G124" s="2" t="s">
        <v>26</v>
      </c>
      <c r="H124" s="2" t="s">
        <v>948</v>
      </c>
      <c r="I124" s="2" t="s">
        <v>949</v>
      </c>
      <c r="J124" s="2" t="n">
        <v>9855</v>
      </c>
      <c r="K124" s="2" t="s">
        <v>42</v>
      </c>
      <c r="L124" s="8" t="s">
        <v>774</v>
      </c>
      <c r="M124" s="2" t="s">
        <v>775</v>
      </c>
      <c r="N124" s="2"/>
      <c r="O124" s="2"/>
      <c r="P124" s="2"/>
      <c r="Q124" s="2" t="n">
        <v>0</v>
      </c>
      <c r="R124" s="2" t="s">
        <v>923</v>
      </c>
      <c r="S124" s="2" t="s">
        <v>777</v>
      </c>
      <c r="T124" s="2" t="n">
        <v>675569174</v>
      </c>
    </row>
    <row r="125" customFormat="false" ht="15" hidden="false" customHeight="false" outlineLevel="0" collapsed="false">
      <c r="A125" s="2" t="s">
        <v>655</v>
      </c>
      <c r="B125" s="2" t="s">
        <v>950</v>
      </c>
      <c r="C125" s="2" t="s">
        <v>951</v>
      </c>
      <c r="D125" s="2" t="s">
        <v>952</v>
      </c>
      <c r="E125" s="2" t="s">
        <v>953</v>
      </c>
      <c r="F125" s="2" t="s">
        <v>954</v>
      </c>
      <c r="G125" s="2" t="s">
        <v>26</v>
      </c>
      <c r="H125" s="2" t="s">
        <v>955</v>
      </c>
      <c r="I125" s="2" t="s">
        <v>956</v>
      </c>
      <c r="J125" s="2" t="n">
        <v>1921</v>
      </c>
      <c r="K125" s="2" t="s">
        <v>29</v>
      </c>
      <c r="L125" s="8" t="s">
        <v>774</v>
      </c>
      <c r="M125" s="2" t="s">
        <v>775</v>
      </c>
      <c r="N125" s="2"/>
      <c r="O125" s="2"/>
      <c r="P125" s="2"/>
      <c r="Q125" s="2" t="n">
        <v>0</v>
      </c>
      <c r="R125" s="2" t="s">
        <v>957</v>
      </c>
      <c r="S125" s="2" t="s">
        <v>777</v>
      </c>
      <c r="T125" s="2" t="n">
        <v>675567869</v>
      </c>
    </row>
    <row r="126" customFormat="false" ht="15" hidden="false" customHeight="false" outlineLevel="0" collapsed="false">
      <c r="A126" s="2" t="s">
        <v>958</v>
      </c>
      <c r="B126" s="2" t="s">
        <v>959</v>
      </c>
      <c r="C126" s="2" t="s">
        <v>785</v>
      </c>
      <c r="D126" s="2" t="s">
        <v>960</v>
      </c>
      <c r="E126" s="2" t="s">
        <v>961</v>
      </c>
      <c r="F126" s="2" t="s">
        <v>962</v>
      </c>
      <c r="G126" s="2" t="s">
        <v>26</v>
      </c>
      <c r="H126" s="2" t="s">
        <v>963</v>
      </c>
      <c r="I126" s="2" t="s">
        <v>964</v>
      </c>
      <c r="J126" s="2" t="n">
        <v>655</v>
      </c>
      <c r="K126" s="2" t="s">
        <v>29</v>
      </c>
      <c r="L126" s="8" t="s">
        <v>774</v>
      </c>
      <c r="M126" s="2" t="s">
        <v>870</v>
      </c>
      <c r="N126" s="2"/>
      <c r="O126" s="2"/>
      <c r="P126" s="2"/>
      <c r="Q126" s="2" t="n">
        <v>0</v>
      </c>
      <c r="R126" s="2" t="s">
        <v>965</v>
      </c>
      <c r="S126" s="2" t="s">
        <v>777</v>
      </c>
      <c r="T126" s="2" t="n">
        <v>675568684</v>
      </c>
    </row>
    <row r="127" customFormat="false" ht="15" hidden="false" customHeight="false" outlineLevel="0" collapsed="false">
      <c r="A127" s="2" t="s">
        <v>966</v>
      </c>
      <c r="B127" s="2" t="s">
        <v>967</v>
      </c>
      <c r="C127" s="2" t="s">
        <v>22</v>
      </c>
      <c r="D127" s="2" t="s">
        <v>968</v>
      </c>
      <c r="E127" s="2" t="s">
        <v>969</v>
      </c>
      <c r="F127" s="2" t="s">
        <v>829</v>
      </c>
      <c r="G127" s="2" t="s">
        <v>26</v>
      </c>
      <c r="H127" s="2" t="s">
        <v>970</v>
      </c>
      <c r="I127" s="2" t="s">
        <v>971</v>
      </c>
      <c r="J127" s="2" t="n">
        <v>948</v>
      </c>
      <c r="K127" s="2" t="s">
        <v>42</v>
      </c>
      <c r="L127" s="8" t="s">
        <v>774</v>
      </c>
      <c r="M127" s="2" t="s">
        <v>775</v>
      </c>
      <c r="N127" s="2"/>
      <c r="O127" s="2"/>
      <c r="P127" s="2"/>
      <c r="Q127" s="2" t="n">
        <v>0</v>
      </c>
      <c r="R127" s="2" t="s">
        <v>776</v>
      </c>
      <c r="S127" s="2" t="s">
        <v>777</v>
      </c>
      <c r="T127" s="2" t="n">
        <v>675567845</v>
      </c>
    </row>
    <row r="128" customFormat="false" ht="15" hidden="false" customHeight="false" outlineLevel="0" collapsed="false">
      <c r="A128" s="2" t="s">
        <v>616</v>
      </c>
      <c r="B128" s="2" t="s">
        <v>972</v>
      </c>
      <c r="C128" s="2" t="s">
        <v>22</v>
      </c>
      <c r="D128" s="2" t="s">
        <v>973</v>
      </c>
      <c r="E128" s="2" t="s">
        <v>974</v>
      </c>
      <c r="F128" s="2" t="s">
        <v>975</v>
      </c>
      <c r="G128" s="2" t="s">
        <v>26</v>
      </c>
      <c r="H128" s="2" t="s">
        <v>976</v>
      </c>
      <c r="I128" s="2" t="s">
        <v>977</v>
      </c>
      <c r="J128" s="2" t="n">
        <v>1195</v>
      </c>
      <c r="K128" s="2" t="s">
        <v>42</v>
      </c>
      <c r="L128" s="8" t="s">
        <v>774</v>
      </c>
      <c r="M128" s="2" t="s">
        <v>775</v>
      </c>
      <c r="N128" s="2"/>
      <c r="O128" s="2"/>
      <c r="P128" s="2"/>
      <c r="Q128" s="2" t="n">
        <v>0</v>
      </c>
      <c r="R128" s="2" t="s">
        <v>978</v>
      </c>
      <c r="S128" s="2" t="s">
        <v>777</v>
      </c>
      <c r="T128" s="2" t="n">
        <v>675568677</v>
      </c>
    </row>
    <row r="129" customFormat="false" ht="15" hidden="false" customHeight="false" outlineLevel="0" collapsed="false">
      <c r="A129" s="2" t="s">
        <v>979</v>
      </c>
      <c r="B129" s="2" t="s">
        <v>980</v>
      </c>
      <c r="C129" s="2" t="s">
        <v>981</v>
      </c>
      <c r="D129" s="2" t="s">
        <v>982</v>
      </c>
      <c r="E129" s="2" t="s">
        <v>983</v>
      </c>
      <c r="F129" s="2" t="s">
        <v>726</v>
      </c>
      <c r="G129" s="2" t="s">
        <v>26</v>
      </c>
      <c r="H129" s="2" t="s">
        <v>984</v>
      </c>
      <c r="I129" s="2" t="s">
        <v>985</v>
      </c>
      <c r="J129" s="2" t="n">
        <v>357</v>
      </c>
      <c r="K129" s="2" t="s">
        <v>42</v>
      </c>
      <c r="L129" s="8" t="s">
        <v>774</v>
      </c>
      <c r="M129" s="2" t="s">
        <v>775</v>
      </c>
      <c r="N129" s="2"/>
      <c r="O129" s="2"/>
      <c r="P129" s="2"/>
      <c r="Q129" s="2" t="n">
        <v>0</v>
      </c>
      <c r="R129" s="2" t="s">
        <v>986</v>
      </c>
      <c r="S129" s="2" t="s">
        <v>777</v>
      </c>
      <c r="T129" s="2" t="n">
        <v>675568282</v>
      </c>
    </row>
    <row r="130" customFormat="false" ht="15" hidden="false" customHeight="false" outlineLevel="0" collapsed="false">
      <c r="A130" s="2" t="s">
        <v>987</v>
      </c>
      <c r="B130" s="2" t="s">
        <v>988</v>
      </c>
      <c r="C130" s="2" t="s">
        <v>122</v>
      </c>
      <c r="D130" s="2" t="s">
        <v>989</v>
      </c>
      <c r="E130" s="2" t="s">
        <v>990</v>
      </c>
      <c r="F130" s="2" t="s">
        <v>991</v>
      </c>
      <c r="G130" s="2" t="s">
        <v>26</v>
      </c>
      <c r="H130" s="2" t="s">
        <v>992</v>
      </c>
      <c r="I130" s="2" t="s">
        <v>993</v>
      </c>
      <c r="J130" s="2" t="n">
        <v>282</v>
      </c>
      <c r="K130" s="2" t="s">
        <v>29</v>
      </c>
      <c r="L130" s="8" t="s">
        <v>774</v>
      </c>
      <c r="M130" s="2" t="s">
        <v>775</v>
      </c>
      <c r="N130" s="2"/>
      <c r="O130" s="2"/>
      <c r="P130" s="2"/>
      <c r="Q130" s="2" t="n">
        <v>0</v>
      </c>
      <c r="R130" s="2" t="s">
        <v>994</v>
      </c>
      <c r="S130" s="2" t="s">
        <v>777</v>
      </c>
      <c r="T130" s="2" t="n">
        <v>675568275</v>
      </c>
    </row>
    <row r="131" customFormat="false" ht="15" hidden="false" customHeight="false" outlineLevel="0" collapsed="false">
      <c r="A131" s="2" t="s">
        <v>995</v>
      </c>
      <c r="B131" s="2" t="s">
        <v>996</v>
      </c>
      <c r="C131" s="2" t="s">
        <v>997</v>
      </c>
      <c r="D131" s="2" t="s">
        <v>998</v>
      </c>
      <c r="E131" s="2" t="s">
        <v>997</v>
      </c>
      <c r="F131" s="2" t="s">
        <v>198</v>
      </c>
      <c r="G131" s="2" t="s">
        <v>26</v>
      </c>
      <c r="H131" s="2" t="s">
        <v>999</v>
      </c>
      <c r="I131" s="2" t="s">
        <v>1000</v>
      </c>
      <c r="J131" s="2" t="n">
        <v>1257</v>
      </c>
      <c r="K131" s="2" t="s">
        <v>29</v>
      </c>
      <c r="L131" s="8" t="s">
        <v>774</v>
      </c>
      <c r="M131" s="2" t="s">
        <v>775</v>
      </c>
      <c r="N131" s="2"/>
      <c r="O131" s="2"/>
      <c r="P131" s="2"/>
      <c r="Q131" s="2" t="n">
        <v>0</v>
      </c>
      <c r="R131" s="2" t="s">
        <v>476</v>
      </c>
      <c r="S131" s="2" t="s">
        <v>777</v>
      </c>
      <c r="T131" s="2" t="n">
        <v>675569166</v>
      </c>
    </row>
    <row r="132" customFormat="false" ht="15" hidden="false" customHeight="false" outlineLevel="0" collapsed="false">
      <c r="A132" s="2" t="s">
        <v>1001</v>
      </c>
      <c r="B132" s="2" t="s">
        <v>1002</v>
      </c>
      <c r="C132" s="2" t="s">
        <v>1003</v>
      </c>
      <c r="D132" s="2" t="s">
        <v>1004</v>
      </c>
      <c r="E132" s="2" t="s">
        <v>1003</v>
      </c>
      <c r="F132" s="2" t="s">
        <v>142</v>
      </c>
      <c r="G132" s="2" t="s">
        <v>26</v>
      </c>
      <c r="H132" s="2"/>
      <c r="I132" s="2" t="s">
        <v>1005</v>
      </c>
      <c r="J132" s="2" t="n">
        <v>318</v>
      </c>
      <c r="K132" s="2" t="s">
        <v>29</v>
      </c>
      <c r="L132" s="8" t="s">
        <v>774</v>
      </c>
      <c r="M132" s="2" t="s">
        <v>775</v>
      </c>
      <c r="N132" s="2"/>
      <c r="O132" s="2"/>
      <c r="P132" s="2"/>
      <c r="Q132" s="2" t="n">
        <v>0</v>
      </c>
      <c r="R132" s="2" t="s">
        <v>1006</v>
      </c>
      <c r="S132" s="2" t="s">
        <v>777</v>
      </c>
      <c r="T132" s="2" t="n">
        <v>675568689</v>
      </c>
    </row>
  </sheetData>
  <autoFilter ref="A1:T1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95"/>
  </cols>
  <sheetData>
    <row r="1" customFormat="false" ht="16.15" hidden="false" customHeight="false" outlineLevel="0" collapsed="false">
      <c r="A1" s="9" t="s">
        <v>1007</v>
      </c>
    </row>
    <row r="2" customFormat="false" ht="15" hidden="false" customHeight="false" outlineLevel="0" collapsed="false">
      <c r="A2" s="10" t="s">
        <v>1008</v>
      </c>
    </row>
    <row r="4" customFormat="false" ht="15" hidden="false" customHeight="false" outlineLevel="0" collapsed="false">
      <c r="A4" s="11" t="s">
        <v>11</v>
      </c>
      <c r="B4" s="11" t="s">
        <v>1009</v>
      </c>
    </row>
    <row r="5" customFormat="false" ht="15" hidden="false" customHeight="false" outlineLevel="0" collapsed="false">
      <c r="A5" s="12" t="s">
        <v>15</v>
      </c>
      <c r="B5" s="13" t="n">
        <f aca="false">COUNTIF(Leads!$L$2:$L$132,A5)</f>
        <v>2</v>
      </c>
    </row>
    <row r="6" customFormat="false" ht="15" hidden="false" customHeight="false" outlineLevel="0" collapsed="false">
      <c r="A6" s="14" t="s">
        <v>14</v>
      </c>
      <c r="B6" s="13" t="n">
        <f aca="false">COUNTIF(Leads!$L$2:$L$132,A6)</f>
        <v>5</v>
      </c>
    </row>
    <row r="7" customFormat="false" ht="15" hidden="false" customHeight="false" outlineLevel="0" collapsed="false">
      <c r="A7" s="15" t="s">
        <v>98</v>
      </c>
      <c r="B7" s="13" t="n">
        <f aca="false">COUNTIF(Leads!$L$2:$L$132,A7)</f>
        <v>60</v>
      </c>
    </row>
    <row r="8" customFormat="false" ht="15" hidden="false" customHeight="false" outlineLevel="0" collapsed="false">
      <c r="A8" s="16" t="s">
        <v>1010</v>
      </c>
      <c r="B8" s="13" t="n">
        <f aca="false">COUNTIF(Leads!$L$2:$L$132,A8)</f>
        <v>0</v>
      </c>
    </row>
    <row r="9" customFormat="false" ht="15" hidden="false" customHeight="false" outlineLevel="0" collapsed="false">
      <c r="A9" s="17" t="s">
        <v>583</v>
      </c>
      <c r="B9" s="13" t="n">
        <f aca="false">COUNTIF(Leads!$L$2:$L$132,A9)</f>
        <v>31</v>
      </c>
    </row>
    <row r="10" customFormat="false" ht="15" hidden="false" customHeight="false" outlineLevel="0" collapsed="false">
      <c r="A10" s="18" t="s">
        <v>774</v>
      </c>
      <c r="B10" s="13" t="n">
        <f aca="false">COUNTIF(Leads!$L$2:$L$132,A10)</f>
        <v>33</v>
      </c>
    </row>
    <row r="11" customFormat="false" ht="15" hidden="false" customHeight="false" outlineLevel="0" collapsed="false">
      <c r="A11" s="19" t="s">
        <v>1011</v>
      </c>
      <c r="B11" s="19" t="n">
        <f aca="false">SUM(B5:B10)</f>
        <v>131</v>
      </c>
    </row>
    <row r="13" customFormat="false" ht="15" hidden="false" customHeight="false" outlineLevel="0" collapsed="false">
      <c r="A13" s="11" t="s">
        <v>12</v>
      </c>
      <c r="B13" s="11" t="s">
        <v>1009</v>
      </c>
    </row>
    <row r="14" customFormat="false" ht="15" hidden="false" customHeight="false" outlineLevel="0" collapsed="false">
      <c r="A14" s="13" t="s">
        <v>775</v>
      </c>
      <c r="B14" s="13" t="n">
        <f aca="false">COUNTIF(Leads!$M$2:$M$132,A14)</f>
        <v>30</v>
      </c>
      <c r="C14" s="10" t="s">
        <v>1012</v>
      </c>
    </row>
    <row r="15" customFormat="false" ht="15" hidden="false" customHeight="false" outlineLevel="0" collapsed="false">
      <c r="A15" s="13" t="s">
        <v>870</v>
      </c>
      <c r="B15" s="13" t="n">
        <f aca="false">COUNTIF(Leads!$M$2:$M$132,A15)</f>
        <v>3</v>
      </c>
      <c r="C15" s="10" t="s">
        <v>1013</v>
      </c>
    </row>
    <row r="17" customFormat="false" ht="15" hidden="false" customHeight="false" outlineLevel="0" collapsed="false">
      <c r="A17" s="11" t="s">
        <v>1014</v>
      </c>
      <c r="B17" s="11" t="s">
        <v>1015</v>
      </c>
    </row>
    <row r="18" customFormat="false" ht="15" hidden="false" customHeight="false" outlineLevel="0" collapsed="false">
      <c r="A18" s="13" t="s">
        <v>1016</v>
      </c>
      <c r="B18" s="13" t="n">
        <f aca="false">B7+B6+B5</f>
        <v>67</v>
      </c>
    </row>
    <row r="19" customFormat="false" ht="15" hidden="false" customHeight="false" outlineLevel="0" collapsed="false">
      <c r="A19" s="13" t="s">
        <v>1017</v>
      </c>
      <c r="B19" s="20" t="n">
        <f aca="false">IF(B18=0,0,(B6+B5)/B18)</f>
        <v>0.104477611940299</v>
      </c>
    </row>
    <row r="20" customFormat="false" ht="15" hidden="false" customHeight="false" outlineLevel="0" collapsed="false">
      <c r="A20" s="13" t="s">
        <v>1018</v>
      </c>
      <c r="B20" s="20" t="n">
        <f aca="false">IF(B18=0,0,B5/B18)</f>
        <v>0.0298507462686567</v>
      </c>
    </row>
    <row r="21" customFormat="false" ht="15" hidden="false" customHeight="false" outlineLevel="0" collapsed="false">
      <c r="A21" s="13" t="s">
        <v>1019</v>
      </c>
      <c r="B21" s="20" t="n">
        <f aca="false">IF(B11=0,0,B10/B11)</f>
        <v>0.251908396946565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2026-09-07T08:25:30Z</dcterms:created>
  <dc:creator>openpyxl</dc:creator>
  <dc:description/>
  <dc:language>en-US</dc:language>
  <cp:lastModifiedBy/>
  <dcterms:modified xsi:type="dcterms:W3CDTF">2026-09-07T08:25:30Z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