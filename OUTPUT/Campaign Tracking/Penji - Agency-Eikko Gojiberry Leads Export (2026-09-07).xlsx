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ads" sheetId="1" state="visible" r:id="rId3"/>
    <sheet name="Summary" sheetId="2" state="visible" r:id="rId4"/>
  </sheets>
  <definedNames>
    <definedName function="false" hidden="true" localSheetId="0" name="_xlnm._FilterDatabase" vbProcedure="false">Leads!$A$1:$Y$500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<sst xmlns="http://schemas.openxmlformats.org/spreadsheetml/2006/main" count="8688" uniqueCount="4382">
  <si>
    <t xml:space="preserve">First Name</t>
  </si>
  <si>
    <t xml:space="preserve">Last Name</t>
  </si>
  <si>
    <t xml:space="preserve">Position</t>
  </si>
  <si>
    <t xml:space="preserve">Company</t>
  </si>
  <si>
    <t xml:space="preserve">Company Size</t>
  </si>
  <si>
    <t xml:space="preserve">Industry</t>
  </si>
  <si>
    <t xml:space="preserve">Location</t>
  </si>
  <si>
    <t xml:space="preserve">Website</t>
  </si>
  <si>
    <t xml:space="preserve">LinkedIn URL</t>
  </si>
  <si>
    <t xml:space="preserve">Company LinkedIn</t>
  </si>
  <si>
    <t xml:space="preserve">Headline</t>
  </si>
  <si>
    <t xml:space="preserve">Position Dates</t>
  </si>
  <si>
    <t xml:space="preserve">Email</t>
  </si>
  <si>
    <t xml:space="preserve">Phone</t>
  </si>
  <si>
    <t xml:space="preserve">Intent Type</t>
  </si>
  <si>
    <t xml:space="preserve">Intent</t>
  </si>
  <si>
    <t xml:space="preserve">Intent Keyword</t>
  </si>
  <si>
    <t xml:space="preserve">ICP Fit Score</t>
  </si>
  <si>
    <t xml:space="preserve">Intent Score</t>
  </si>
  <si>
    <t xml:space="preserve">Total Score</t>
  </si>
  <si>
    <t xml:space="preserve">Score Reasoning</t>
  </si>
  <si>
    <t xml:space="preserve">Open To Work</t>
  </si>
  <si>
    <t xml:space="preserve">Created (PHT)</t>
  </si>
  <si>
    <t xml:space="preserve">Export Status</t>
  </si>
  <si>
    <t xml:space="preserve">Gojiberry Contact ID</t>
  </si>
  <si>
    <t xml:space="preserve">Riley</t>
  </si>
  <si>
    <t xml:space="preserve">Hennigh 🏴</t>
  </si>
  <si>
    <t xml:space="preserve">Founder &amp; Creative Director</t>
  </si>
  <si>
    <t xml:space="preserve">Oratory</t>
  </si>
  <si>
    <t xml:space="preserve">Myself Only</t>
  </si>
  <si>
    <t xml:space="preserve">Design Services</t>
  </si>
  <si>
    <t xml:space="preserve">Oklahoma City, Oklahoma, United States</t>
  </si>
  <si>
    <t xml:space="preserve">http://riley.cx</t>
  </si>
  <si>
    <t xml:space="preserve">https://www.linkedin.com/in/rileyhennigh</t>
  </si>
  <si>
    <t xml:space="preserve">https://linkedin.com/company/99470125</t>
  </si>
  <si>
    <t xml:space="preserve">I help B2B software startups look and feel like established players.</t>
  </si>
  <si>
    <t xml:space="preserve">02/01/2024 - Present</t>
  </si>
  <si>
    <t xml:space="preserve">RECENT_ACTIVITY</t>
  </si>
  <si>
    <t xml:space="preserve">Top 5% most active in your ICP (LinkedIn)</t>
  </si>
  <si>
    <t xml:space="preserve">Founder aligns with ICP; Design Services in US; size slightly smaller but adjacent.</t>
  </si>
  <si>
    <t xml:space="preserve">No</t>
  </si>
  <si>
    <t xml:space="preserve">2026-09-07 09:25</t>
  </si>
  <si>
    <t xml:space="preserve">NEW - not yet exported</t>
  </si>
  <si>
    <t xml:space="preserve">Laura</t>
  </si>
  <si>
    <t xml:space="preserve">Wachowiak (Antolak)</t>
  </si>
  <si>
    <t xml:space="preserve">Creative Director</t>
  </si>
  <si>
    <t xml:space="preserve">LJ Marketing &amp; Media</t>
  </si>
  <si>
    <t xml:space="preserve">1-10 employees</t>
  </si>
  <si>
    <t xml:space="preserve">Marketing Services</t>
  </si>
  <si>
    <t xml:space="preserve">San Diego, California, United States</t>
  </si>
  <si>
    <t xml:space="preserve">https://www.linkedin.com/in/laurawachowiak</t>
  </si>
  <si>
    <t xml:space="preserve">https://www.linkedin.com/company/lj-marketing-media</t>
  </si>
  <si>
    <t xml:space="preserve">Creative Operations &amp; Marketing Leader | Brand, Content &amp; Campaign Execution | Workflow Systems, Internal Communications &amp; Team Delivery</t>
  </si>
  <si>
    <t xml:space="preserve">January 2025 - Present</t>
  </si>
  <si>
    <t xml:space="preserve">Role, industry, and location align with the ICP; company size is one band smaller than the ICP.</t>
  </si>
  <si>
    <t xml:space="preserve">Chloe</t>
  </si>
  <si>
    <t xml:space="preserve">Akahori</t>
  </si>
  <si>
    <t xml:space="preserve">Domino New York</t>
  </si>
  <si>
    <t xml:space="preserve">2-10</t>
  </si>
  <si>
    <t xml:space="preserve">New York, New York, United States</t>
  </si>
  <si>
    <t xml:space="preserve">dominony.com</t>
  </si>
  <si>
    <t xml:space="preserve">https://www.linkedin.com/in/chloeakahori</t>
  </si>
  <si>
    <t xml:space="preserve">https://www.linkedin.com/company/dominonewyork</t>
  </si>
  <si>
    <t xml:space="preserve">January 2019 - Present</t>
  </si>
  <si>
    <t xml:space="preserve">Role and company fit ICP; location and industry align; strong all-around match.</t>
  </si>
  <si>
    <t xml:space="preserve">Brendon</t>
  </si>
  <si>
    <t xml:space="preserve">McLean</t>
  </si>
  <si>
    <t xml:space="preserve">Owner | Creative Director</t>
  </si>
  <si>
    <t xml:space="preserve">Latitude Studios</t>
  </si>
  <si>
    <t xml:space="preserve">Parkville, Maryland, United States</t>
  </si>
  <si>
    <t xml:space="preserve">http://www.latitudestudios.com</t>
  </si>
  <si>
    <t xml:space="preserve">https://www.linkedin.com/in/brendonmclean</t>
  </si>
  <si>
    <t xml:space="preserve">https://www.linkedin.com/company/latitude-studios</t>
  </si>
  <si>
    <t xml:space="preserve">Creative Director at Latitude Studios</t>
  </si>
  <si>
    <t xml:space="preserve">May 2007 - Present</t>
  </si>
  <si>
    <t xml:space="preserve">Role aligns with ICP; US location; industry match; company size slightly smaller.</t>
  </si>
  <si>
    <t xml:space="preserve">Kristin</t>
  </si>
  <si>
    <t xml:space="preserve">Wellmer</t>
  </si>
  <si>
    <t xml:space="preserve">Crybaby Kingdom</t>
  </si>
  <si>
    <t xml:space="preserve">Los Angeles, California, United States</t>
  </si>
  <si>
    <t xml:space="preserve">https://www.linkedin.com/redir/redirect?url=https://wellmer.co/&amp;urlhash=Th50&amp;trk=public_profile_topcard-website</t>
  </si>
  <si>
    <t xml:space="preserve">https://www.linkedin.com/in/wwwellmer</t>
  </si>
  <si>
    <t xml:space="preserve">https://www.linkedin.com/company/crybaby-kingdom</t>
  </si>
  <si>
    <t xml:space="preserve">Co-Founder @ Crybaby Kingdom / Executive Creative Director / Director / Writer</t>
  </si>
  <si>
    <t xml:space="preserve">May 2024 - Present</t>
  </si>
  <si>
    <t xml:space="preserve">Creative Director in Marketing Services from US with near-fit company size aligns with ICP.</t>
  </si>
  <si>
    <t xml:space="preserve">Kristine</t>
  </si>
  <si>
    <t xml:space="preserve">Jacobson</t>
  </si>
  <si>
    <t xml:space="preserve">Founder, CEO</t>
  </si>
  <si>
    <t xml:space="preserve">Conveyance Marketing Group</t>
  </si>
  <si>
    <t xml:space="preserve">11-50 employees</t>
  </si>
  <si>
    <t xml:space="preserve">Leesburg, Virginia, United States</t>
  </si>
  <si>
    <t xml:space="preserve">http://www.conveyancemarketinggroup.com</t>
  </si>
  <si>
    <t xml:space="preserve">https://www.linkedin.com/in/kristinejacobsoncmo</t>
  </si>
  <si>
    <t xml:space="preserve">https://www.linkedin.com/company/conveyance-marketing-group</t>
  </si>
  <si>
    <t xml:space="preserve">Founder and CEO, Conveyance Marketing Group</t>
  </si>
  <si>
    <t xml:space="preserve">March 2009 - Present</t>
  </si>
  <si>
    <t xml:space="preserve">Role aligns with ICP and location/industry/size match precisely.</t>
  </si>
  <si>
    <t xml:space="preserve">2026-09-07 09:24</t>
  </si>
  <si>
    <t xml:space="preserve">Sulman</t>
  </si>
  <si>
    <t xml:space="preserve">Mirza</t>
  </si>
  <si>
    <t xml:space="preserve">Founder + Creative Director</t>
  </si>
  <si>
    <t xml:space="preserve">Resonant Design</t>
  </si>
  <si>
    <t xml:space="preserve">2 - 10</t>
  </si>
  <si>
    <t xml:space="preserve">Houston, Texas, United States</t>
  </si>
  <si>
    <t xml:space="preserve">https://resonant.work</t>
  </si>
  <si>
    <t xml:space="preserve">https://www.linkedin.com/in/sulmirza</t>
  </si>
  <si>
    <t xml:space="preserve">https://www.linkedin.com/company/resonant-studio/</t>
  </si>
  <si>
    <t xml:space="preserve">Founder + Creative Director @ Resonant Design | Brand &amp; Web</t>
  </si>
  <si>
    <t xml:space="preserve">5/4/2025 - now</t>
  </si>
  <si>
    <t xml:space="preserve">Role matches ICP; industry/location align; company size within allowed band.</t>
  </si>
  <si>
    <t xml:space="preserve">Chad</t>
  </si>
  <si>
    <t xml:space="preserve">McCown</t>
  </si>
  <si>
    <t xml:space="preserve">McCown Design Agency</t>
  </si>
  <si>
    <t xml:space="preserve">Palos Verdes Peninsula, California, United States</t>
  </si>
  <si>
    <t xml:space="preserve">https://www.linkedin.com/redir/redirect?url=http://www.mccowndesignagency.com&amp;urlhash=thwY&amp;trk=public_profile_website</t>
  </si>
  <si>
    <t xml:space="preserve">https://www.linkedin.com/in/chadmccown</t>
  </si>
  <si>
    <t xml:space="preserve">https://www.linkedin.com/company/mccown-design-agency</t>
  </si>
  <si>
    <t xml:space="preserve">Creative Director @ McCown Design Agency • Illustration Representation @ Lemonade Illustration Agency</t>
  </si>
  <si>
    <t xml:space="preserve">2005 - Present</t>
  </si>
  <si>
    <t xml:space="preserve">Role matches ICP titles with seniority; location and industry align; company size slightly smaller than ICP but overall fit</t>
  </si>
  <si>
    <t xml:space="preserve">Tierney</t>
  </si>
  <si>
    <t xml:space="preserve">Cunningham</t>
  </si>
  <si>
    <t xml:space="preserve">Supermoon.us</t>
  </si>
  <si>
    <t xml:space="preserve">Seattle, Washington, United States</t>
  </si>
  <si>
    <t xml:space="preserve">http://studiotierney.com</t>
  </si>
  <si>
    <t xml:space="preserve">https://www.linkedin.com/in/tierneycunningham</t>
  </si>
  <si>
    <t xml:space="preserve">https://linkedin.com/company/53174631</t>
  </si>
  <si>
    <t xml:space="preserve">Brand Creative Director</t>
  </si>
  <si>
    <t xml:space="preserve">08/01/2025 - Present</t>
  </si>
  <si>
    <t xml:space="preserve">Creative Director aligns with ICP title; Design Services in US; company size close to ICP; location matches.</t>
  </si>
  <si>
    <t xml:space="preserve">Noall-Scott</t>
  </si>
  <si>
    <t xml:space="preserve">Reid</t>
  </si>
  <si>
    <t xml:space="preserve">Founder / Creative Director</t>
  </si>
  <si>
    <t xml:space="preserve">Noall Scott</t>
  </si>
  <si>
    <t xml:space="preserve">Greater Cleveland</t>
  </si>
  <si>
    <t xml:space="preserve">https://www.noallscott.com</t>
  </si>
  <si>
    <t xml:space="preserve">https://www.linkedin.com/in/noallreid</t>
  </si>
  <si>
    <t xml:space="preserve">https://www.linkedin.com/company/noall-scott</t>
  </si>
  <si>
    <t xml:space="preserve">Executive Creative Director | Creative Operations &amp; Integrated Production Leader / Mountain Biking Enthusiast</t>
  </si>
  <si>
    <t xml:space="preserve">March 2008 - Present</t>
  </si>
  <si>
    <t xml:space="preserve">Founder/Creative Director aligns with ICP; industry matches Marketing Services in US; location fits; size is just below ICP range.</t>
  </si>
  <si>
    <t xml:space="preserve">Maria</t>
  </si>
  <si>
    <t xml:space="preserve">De La Cruz</t>
  </si>
  <si>
    <t xml:space="preserve">Artropoliz</t>
  </si>
  <si>
    <t xml:space="preserve">Redwood City, California, United States</t>
  </si>
  <si>
    <t xml:space="preserve">Artropoliz.com</t>
  </si>
  <si>
    <t xml:space="preserve">https://www.linkedin.com/in/maria-de-la-cruz-artropoliz</t>
  </si>
  <si>
    <t xml:space="preserve">https://www.linkedin.com/company/artropoliz</t>
  </si>
  <si>
    <t xml:space="preserve">Multidisciplinary Visual Designer | Illustrator | Founder, Artropoliz™ | Brand &amp; Visual Storytelling</t>
  </si>
  <si>
    <t xml:space="preserve">March 2026 - Present</t>
  </si>
  <si>
    <t xml:space="preserve">Role and location align with ICP; industry matches; company size does not.</t>
  </si>
  <si>
    <t xml:space="preserve">Karine</t>
  </si>
  <si>
    <t xml:space="preserve">Makartichan</t>
  </si>
  <si>
    <t xml:space="preserve">US Illustrations</t>
  </si>
  <si>
    <t xml:space="preserve">Greater Boston</t>
  </si>
  <si>
    <t xml:space="preserve">https://www.linkedin.com/in/karine-makartichan</t>
  </si>
  <si>
    <t xml:space="preserve">https://www.linkedin.com/company/usillustrations</t>
  </si>
  <si>
    <t xml:space="preserve">Creative Director @US Illustrations | ABD Fine Arts, Character Design</t>
  </si>
  <si>
    <t xml:space="preserve">June 2017 - Present</t>
  </si>
  <si>
    <t xml:space="preserve">Creative Director aligns with ICP roles and the company/region fit US marketing/design services.</t>
  </si>
  <si>
    <t xml:space="preserve">Austin</t>
  </si>
  <si>
    <t xml:space="preserve">Robinson</t>
  </si>
  <si>
    <t xml:space="preserve">Founder, Head of Creative</t>
  </si>
  <si>
    <t xml:space="preserve">Absorb Studios</t>
  </si>
  <si>
    <t xml:space="preserve">Advertising Services</t>
  </si>
  <si>
    <t xml:space="preserve">Greater Indianapolis</t>
  </si>
  <si>
    <t xml:space="preserve">www.Austin-Robinson.com</t>
  </si>
  <si>
    <t xml:space="preserve">https://www.linkedin.com/in/austin-robinson-b1b53a157</t>
  </si>
  <si>
    <t xml:space="preserve">https://www.linkedin.com/company/absorbstudios</t>
  </si>
  <si>
    <t xml:space="preserve">Founder &amp; Head of Creative, Cinematographer at Absorb Studios</t>
  </si>
  <si>
    <t xml:space="preserve">December 2022 - Present</t>
  </si>
  <si>
    <t xml:space="preserve">Role aligns with ICP; industry/location/size match US Advertising Services.</t>
  </si>
  <si>
    <t xml:space="preserve">Brooke</t>
  </si>
  <si>
    <t xml:space="preserve">White</t>
  </si>
  <si>
    <t xml:space="preserve">Client Success Manager</t>
  </si>
  <si>
    <t xml:space="preserve">Moonlight Digital</t>
  </si>
  <si>
    <t xml:space="preserve">Highland, Michigan, United States</t>
  </si>
  <si>
    <t xml:space="preserve">https://www.linkedin.com/in/brooke-white-b5b763264</t>
  </si>
  <si>
    <t xml:space="preserve">https://www.linkedin.com/company/moonlight-digital</t>
  </si>
  <si>
    <t xml:space="preserve">May 2025 - Present</t>
  </si>
  <si>
    <t xml:space="preserve">Role aligns with ICP titles; industry, location, and company size match the ICP criteria.</t>
  </si>
  <si>
    <t xml:space="preserve">Nathan</t>
  </si>
  <si>
    <t xml:space="preserve">Orensten</t>
  </si>
  <si>
    <t xml:space="preserve">READY SET NO</t>
  </si>
  <si>
    <t xml:space="preserve">Columbus, Ohio, United States</t>
  </si>
  <si>
    <t xml:space="preserve">https://www.linkedin.com/in/nathan-orensten</t>
  </si>
  <si>
    <t xml:space="preserve">https://www.linkedin.com/company/ready-set-no</t>
  </si>
  <si>
    <t xml:space="preserve">Role, industry, location and size align with ICP.</t>
  </si>
  <si>
    <t xml:space="preserve">Madi</t>
  </si>
  <si>
    <t xml:space="preserve">Balman</t>
  </si>
  <si>
    <t xml:space="preserve">Skellydog</t>
  </si>
  <si>
    <t xml:space="preserve">Norwich, Connecticut, United States</t>
  </si>
  <si>
    <t xml:space="preserve">www.skellydog.com</t>
  </si>
  <si>
    <t xml:space="preserve">https://www.linkedin.com/in/mnbalman</t>
  </si>
  <si>
    <t xml:space="preserve">https://www.linkedin.com/company/skellydog</t>
  </si>
  <si>
    <t xml:space="preserve">Brand Strategist &amp; Creative Director | Fierce Advocate for Growing Bold, Strategy-Driven Brands</t>
  </si>
  <si>
    <t xml:space="preserve">01/01/2016 - Present</t>
  </si>
  <si>
    <t xml:space="preserve">Founder's role aligns with ICP; industry and location match US marketing services; company size slightly smaller but adjacent.</t>
  </si>
  <si>
    <t xml:space="preserve">Ralph</t>
  </si>
  <si>
    <t xml:space="preserve">Renna</t>
  </si>
  <si>
    <t xml:space="preserve">HeavySet Tech</t>
  </si>
  <si>
    <t xml:space="preserve">Dallas-Fort Worth Metroplex</t>
  </si>
  <si>
    <t xml:space="preserve">https://www.linkedin.com/in/ralph-renna</t>
  </si>
  <si>
    <t xml:space="preserve">https://www.linkedin.com/company/heavy-set-tech</t>
  </si>
  <si>
    <t xml:space="preserve">Client Success Manager | AI-Powered Lead Acquisition &amp; 24/7 Automated Scheduling to Scale Businesses. Focused on Contractor Growth Strategies and Lead Optimization.</t>
  </si>
  <si>
    <t xml:space="preserve">May 2026 - Present</t>
  </si>
  <si>
    <t xml:space="preserve">Role matches ICP, location/industry align, company size close to ICP; scoring reflects near-fit with a modest size delta.</t>
  </si>
  <si>
    <t xml:space="preserve">Michael</t>
  </si>
  <si>
    <t xml:space="preserve">Terranova</t>
  </si>
  <si>
    <t xml:space="preserve">Fletcher Knight</t>
  </si>
  <si>
    <t xml:space="preserve">New York City Metropolitan Area</t>
  </si>
  <si>
    <t xml:space="preserve">http://www.fletcherknight.com</t>
  </si>
  <si>
    <t xml:space="preserve">https://www.linkedin.com/in/michael-terranova-61321a29</t>
  </si>
  <si>
    <t xml:space="preserve">https://www.linkedin.com/company/fletcherknight</t>
  </si>
  <si>
    <t xml:space="preserve">Creative Director at Fletcher Knight</t>
  </si>
  <si>
    <t xml:space="preserve">January 2014 - Present</t>
  </si>
  <si>
    <t xml:space="preserve">Role and company fit ICP: Creative Director in Marketing Services, US.</t>
  </si>
  <si>
    <t xml:space="preserve">Molly</t>
  </si>
  <si>
    <t xml:space="preserve">Durchholz</t>
  </si>
  <si>
    <t xml:space="preserve">Co-Founder &amp; Creative Director</t>
  </si>
  <si>
    <t xml:space="preserve">Common Thread</t>
  </si>
  <si>
    <t xml:space="preserve">Evansville, Indiana, United States</t>
  </si>
  <si>
    <t xml:space="preserve">mjdursigns.myportfolio.com</t>
  </si>
  <si>
    <t xml:space="preserve">https://www.linkedin.com/in/molly-durchholz-983403244</t>
  </si>
  <si>
    <t xml:space="preserve">https://www.linkedin.com/company/ownyourthread</t>
  </si>
  <si>
    <t xml:space="preserve">Co-Founder &amp; Creative Director | Common Thread Co.</t>
  </si>
  <si>
    <t xml:space="preserve">January 2026 - Present</t>
  </si>
  <si>
    <t xml:space="preserve">Role maps to ICP titles; location is US and industry aligns; company size is one band below ICP.</t>
  </si>
  <si>
    <t xml:space="preserve">Timothy</t>
  </si>
  <si>
    <t xml:space="preserve">Miley</t>
  </si>
  <si>
    <t xml:space="preserve">Founder / Head of Creative</t>
  </si>
  <si>
    <t xml:space="preserve">Miley Studios</t>
  </si>
  <si>
    <t xml:space="preserve">Greater Reno Area, United States</t>
  </si>
  <si>
    <t xml:space="preserve">https://mileystudios.com</t>
  </si>
  <si>
    <t xml:space="preserve">https://www.linkedin.com/in/timmiley</t>
  </si>
  <si>
    <t xml:space="preserve">https://www.linkedin.com/company/miley-studios/</t>
  </si>
  <si>
    <t xml:space="preserve">Founder, Miley Studios | Ad Person of the Year | Brand Strategy &amp; Digital Marketing | 400+ Awards incl. Webby</t>
  </si>
  <si>
    <t xml:space="preserve">1/01/2023 - now</t>
  </si>
  <si>
    <t xml:space="preserve">Role and ICP align on title, industry, location, and company size.</t>
  </si>
  <si>
    <t xml:space="preserve">Dan</t>
  </si>
  <si>
    <t xml:space="preserve">Cowling</t>
  </si>
  <si>
    <t xml:space="preserve">Agency Founder, President &amp; CEO</t>
  </si>
  <si>
    <t xml:space="preserve">The Communications Group, Inc.</t>
  </si>
  <si>
    <t xml:space="preserve">11 - 50</t>
  </si>
  <si>
    <t xml:space="preserve">Little Rock, Arkansas, United States</t>
  </si>
  <si>
    <t xml:space="preserve">http://www.comgroup.com</t>
  </si>
  <si>
    <t xml:space="preserve">https://www.linkedin.com/in/dan-cowling-4a92a120</t>
  </si>
  <si>
    <t xml:space="preserve">https://www.linkedin.com/company/the-communications-group-inc.</t>
  </si>
  <si>
    <t xml:space="preserve">Founder, President &amp; CEO The Communications Group, Inc.</t>
  </si>
  <si>
    <t xml:space="preserve">1987 - Present</t>
  </si>
  <si>
    <t xml:space="preserve">Role maps to Founder/CEO and location and size fit the ICP.</t>
  </si>
  <si>
    <t xml:space="preserve">Dominica</t>
  </si>
  <si>
    <t xml:space="preserve">Fehlau</t>
  </si>
  <si>
    <t xml:space="preserve">TKX Media</t>
  </si>
  <si>
    <t xml:space="preserve">11-50</t>
  </si>
  <si>
    <t xml:space="preserve">St. Petersburg, Florida, United States</t>
  </si>
  <si>
    <t xml:space="preserve">https://nikaworldwide.wixsite.com/nika</t>
  </si>
  <si>
    <t xml:space="preserve">https://www.linkedin.com/in/dominica-fehlau</t>
  </si>
  <si>
    <t xml:space="preserve">https://www.linkedin.com/company/tkx-media</t>
  </si>
  <si>
    <t xml:space="preserve">Client Success Manager | Digital Marketing &amp; Project Management — Campaign Strategy, Automation, CRM &amp; AI</t>
  </si>
  <si>
    <t xml:space="preserve">December 2025 - Present</t>
  </si>
  <si>
    <t xml:space="preserve">Role aligns with ICP; industry, location, and size match closely.</t>
  </si>
  <si>
    <t xml:space="preserve">Caylin</t>
  </si>
  <si>
    <t xml:space="preserve">Sanders</t>
  </si>
  <si>
    <t xml:space="preserve">President, Founder &amp; CEO</t>
  </si>
  <si>
    <t xml:space="preserve">EscapeMaker</t>
  </si>
  <si>
    <t xml:space="preserve">Saugerties, New York, United States</t>
  </si>
  <si>
    <t xml:space="preserve">http://www.escapemaker.com</t>
  </si>
  <si>
    <t xml:space="preserve">https://www.linkedin.com/in/caylinsanders</t>
  </si>
  <si>
    <t xml:space="preserve">https://www.linkedin.com/company/escapemaker</t>
  </si>
  <si>
    <t xml:space="preserve">President, Founder and CEO at EscapeMaker.com</t>
  </si>
  <si>
    <t xml:space="preserve">September 2000 - Present</t>
  </si>
  <si>
    <t xml:space="preserve">Executive founder/CEO match in US marketing services with near-ICP company size and location.</t>
  </si>
  <si>
    <t xml:space="preserve">Matt</t>
  </si>
  <si>
    <t xml:space="preserve">Fantastic</t>
  </si>
  <si>
    <t xml:space="preserve">Forever Stoked Creative</t>
  </si>
  <si>
    <t xml:space="preserve">New Haven, Connecticut, United States</t>
  </si>
  <si>
    <t xml:space="preserve">https://www.linkedin.com/in/matt-fantastic</t>
  </si>
  <si>
    <t xml:space="preserve">https://www.linkedin.com/company/forever-stoked-creative</t>
  </si>
  <si>
    <t xml:space="preserve">Creative Director at Forever Stoked Creative</t>
  </si>
  <si>
    <t xml:space="preserve">2007 - Present</t>
  </si>
  <si>
    <t xml:space="preserve">Creative Director aligns with ICP title; Design Services in US; company size slightly smaller.</t>
  </si>
  <si>
    <t xml:space="preserve">Christopher</t>
  </si>
  <si>
    <t xml:space="preserve">Carroll</t>
  </si>
  <si>
    <t xml:space="preserve">Art Director</t>
  </si>
  <si>
    <t xml:space="preserve">GradComm</t>
  </si>
  <si>
    <t xml:space="preserve">United States</t>
  </si>
  <si>
    <t xml:space="preserve">https://www.krop.com/ccarr2222/</t>
  </si>
  <si>
    <t xml:space="preserve">https://www.linkedin.com/in/christopher-james-carroll</t>
  </si>
  <si>
    <t xml:space="preserve">https://www.linkedin.com/company/gradcomm</t>
  </si>
  <si>
    <t xml:space="preserve">Design Professional &amp; Creative Team Lead</t>
  </si>
  <si>
    <t xml:space="preserve">April 2024 - Present</t>
  </si>
  <si>
    <t xml:space="preserve">Role, industry, size, and location align with the ICP.</t>
  </si>
  <si>
    <t xml:space="preserve">Arlyn</t>
  </si>
  <si>
    <t xml:space="preserve">Hernandez</t>
  </si>
  <si>
    <t xml:space="preserve">Creative Director, Founder</t>
  </si>
  <si>
    <t xml:space="preserve">Biotonic Design</t>
  </si>
  <si>
    <t xml:space="preserve">Miami, Florida, United States</t>
  </si>
  <si>
    <t xml:space="preserve">http://www.arlynhernandez.com</t>
  </si>
  <si>
    <t xml:space="preserve">https://www.linkedin.com/in/arlynhernandezmiami</t>
  </si>
  <si>
    <t xml:space="preserve">https://www.linkedin.com/company/biotonicdesign</t>
  </si>
  <si>
    <t xml:space="preserve">Creative Director at Biotonic, Founder at SAUSHI</t>
  </si>
  <si>
    <t xml:space="preserve">2008 - Present</t>
  </si>
  <si>
    <t xml:space="preserve">Strong fit: senior Creative Director/Founder at a US design services firm.</t>
  </si>
  <si>
    <t xml:space="preserve">Jennifer</t>
  </si>
  <si>
    <t xml:space="preserve">Grinnell</t>
  </si>
  <si>
    <t xml:space="preserve">President/Creative Director</t>
  </si>
  <si>
    <t xml:space="preserve">BrandPlanet, LLC</t>
  </si>
  <si>
    <t xml:space="preserve">Washington DC-Baltimore Area</t>
  </si>
  <si>
    <t xml:space="preserve">http://www.brandplanet.net</t>
  </si>
  <si>
    <t xml:space="preserve">https://www.linkedin.com/in/jennifer-grinnell-1940534</t>
  </si>
  <si>
    <t xml:space="preserve">https://www.linkedin.com/company/brandplanet</t>
  </si>
  <si>
    <t xml:space="preserve">Creative Director I Brand Developer I Communications Strategist I Copywriter I Educator I Founder &amp; President of Ellanor C. Lawrence Park Friends</t>
  </si>
  <si>
    <t xml:space="preserve">January 1999 - Present</t>
  </si>
  <si>
    <t xml:space="preserve">Role and industry align with ICP; location in US and size near ICP but slightly smaller.</t>
  </si>
  <si>
    <t xml:space="preserve">Holly</t>
  </si>
  <si>
    <t xml:space="preserve">Timmins</t>
  </si>
  <si>
    <t xml:space="preserve">Creative Design Squared</t>
  </si>
  <si>
    <t xml:space="preserve">Argyle, Texas, United States</t>
  </si>
  <si>
    <t xml:space="preserve">http://creativedesignsquared.com/</t>
  </si>
  <si>
    <t xml:space="preserve">https://www.linkedin.com/in/holly-timmins-ab473250</t>
  </si>
  <si>
    <t xml:space="preserve">https://www.linkedin.com/company/cdsquared</t>
  </si>
  <si>
    <t xml:space="preserve">Creative Director at Creative Design Squared</t>
  </si>
  <si>
    <t xml:space="preserve">November 2023 - Present</t>
  </si>
  <si>
    <t xml:space="preserve">Role aligns with ICP; industry and location match US-based marketing services; company size is near ICP band.</t>
  </si>
  <si>
    <t xml:space="preserve">Angelica</t>
  </si>
  <si>
    <t xml:space="preserve">Cifuentes Hernandez</t>
  </si>
  <si>
    <t xml:space="preserve">Founder - Creative Director</t>
  </si>
  <si>
    <t xml:space="preserve">Presentora designs</t>
  </si>
  <si>
    <t xml:space="preserve">Chicago, Illinois, United States</t>
  </si>
  <si>
    <t xml:space="preserve">https://www.linkedin.com/redir/redirect?url=www.presentora.com&amp;urlhash=V0Oa&amp;trk=public_profile_topcard-website</t>
  </si>
  <si>
    <t xml:space="preserve">https://www.linkedin.com/in/angelicacifuentes</t>
  </si>
  <si>
    <t xml:space="preserve">https://www.linkedin.com/company/presentora-designs</t>
  </si>
  <si>
    <t xml:space="preserve">Breathing life into your presentations | Presentation Specialist &amp; Creative Director</t>
  </si>
  <si>
    <t xml:space="preserve">February 2023 - Present</t>
  </si>
  <si>
    <t xml:space="preserve">Founder/Creative Director in US marketing services aligns with ICP.</t>
  </si>
  <si>
    <t xml:space="preserve">Niyati</t>
  </si>
  <si>
    <t xml:space="preserve">Kothary Shah</t>
  </si>
  <si>
    <t xml:space="preserve">Founder, Creative Director</t>
  </si>
  <si>
    <t xml:space="preserve">Create Forward</t>
  </si>
  <si>
    <t xml:space="preserve">https://www.linkedin.com/in/niyati-kothary-shah-a2103516</t>
  </si>
  <si>
    <t xml:space="preserve">https://linkedin.com/company/92935001</t>
  </si>
  <si>
    <t xml:space="preserve">Founder @ Create Forward | Bespoke design studio for CMOs + CGOs | Strategy, narrative &amp; design for growth teams to secure funding, win clients &amp; scale | Follow for more on strategic communication design | Ex-consulting</t>
  </si>
  <si>
    <t xml:space="preserve">11/01/2008 - Present</t>
  </si>
  <si>
    <t xml:space="preserve">Role aligns as Founder/Creative Director; industry Design Services; location US; company size near ICP.</t>
  </si>
  <si>
    <t xml:space="preserve">Mike</t>
  </si>
  <si>
    <t xml:space="preserve">Conway</t>
  </si>
  <si>
    <t xml:space="preserve">Jump Company</t>
  </si>
  <si>
    <t xml:space="preserve">St Louis, Missouri, United States</t>
  </si>
  <si>
    <t xml:space="preserve">http://jumpcompany.com/</t>
  </si>
  <si>
    <t xml:space="preserve">https://www.linkedin.com/in/mike-conway-a2095316</t>
  </si>
  <si>
    <t xml:space="preserve">https://www.linkedin.com/company/jump-company</t>
  </si>
  <si>
    <t xml:space="preserve">Creative Director, Art Director, Graphic Designer for Advertising &amp; Marketing</t>
  </si>
  <si>
    <t xml:space="preserve">April 2008 - Present</t>
  </si>
  <si>
    <t xml:space="preserve">Profile aligns exactly with the ICP across title, industry, size, and location.</t>
  </si>
  <si>
    <t xml:space="preserve">Lane</t>
  </si>
  <si>
    <t xml:space="preserve">Banning</t>
  </si>
  <si>
    <t xml:space="preserve">UFO</t>
  </si>
  <si>
    <t xml:space="preserve">www.lanebanning.com</t>
  </si>
  <si>
    <t xml:space="preserve">https://www.linkedin.com/in/lanebanning</t>
  </si>
  <si>
    <t xml:space="preserve">https://www.linkedin.com/company/ufoglobal</t>
  </si>
  <si>
    <t xml:space="preserve">label head &amp; creative director</t>
  </si>
  <si>
    <t xml:space="preserve">June 2023 - Present</t>
  </si>
  <si>
    <t xml:space="preserve">Founder title matches ICP, industry and location align, and company size is near ICP range.</t>
  </si>
  <si>
    <t xml:space="preserve">Gabrielle</t>
  </si>
  <si>
    <t xml:space="preserve">Raumberger</t>
  </si>
  <si>
    <t xml:space="preserve">President, Creative Director</t>
  </si>
  <si>
    <t xml:space="preserve">EPOS Inc</t>
  </si>
  <si>
    <t xml:space="preserve">Hermosa Beach, California, United States</t>
  </si>
  <si>
    <t xml:space="preserve">http://www.eposinc.com</t>
  </si>
  <si>
    <t xml:space="preserve">https://www.linkedin.com/in/gabrielle-raumberger-8975ab1</t>
  </si>
  <si>
    <t xml:space="preserve">https://www.linkedin.com/company/epos-inc</t>
  </si>
  <si>
    <t xml:space="preserve">Creative Director, EPOS Inc., Brand Strategy and Design Studio</t>
  </si>
  <si>
    <t xml:space="preserve">1990 - Present</t>
  </si>
  <si>
    <t xml:space="preserve">Role and location strongly align; industry matches; company size is slightly off ICP bands.</t>
  </si>
  <si>
    <t xml:space="preserve">Brandon</t>
  </si>
  <si>
    <t xml:space="preserve">Locke</t>
  </si>
  <si>
    <t xml:space="preserve">Founder, Art Director</t>
  </si>
  <si>
    <t xml:space="preserve">Studio Vermilion</t>
  </si>
  <si>
    <t xml:space="preserve">Detroit Metropolitan Area</t>
  </si>
  <si>
    <t xml:space="preserve">https://www.Brandon-Locke.com</t>
  </si>
  <si>
    <t xml:space="preserve">https://www.linkedin.com/in/brandon-locke-35a14927</t>
  </si>
  <si>
    <t xml:space="preserve">https://www.linkedin.com/company/studio-vermilion</t>
  </si>
  <si>
    <t xml:space="preserve">Freelance Creative, Art | Prev.  | Co-Director, Studio Vermilion</t>
  </si>
  <si>
    <t xml:space="preserve">Founder in Design Services (US) with suitable company size; location match.</t>
  </si>
  <si>
    <t xml:space="preserve">Aften</t>
  </si>
  <si>
    <t xml:space="preserve">Bell</t>
  </si>
  <si>
    <t xml:space="preserve">Aften Design Studio</t>
  </si>
  <si>
    <t xml:space="preserve">Dallas, Texas, United States</t>
  </si>
  <si>
    <t xml:space="preserve">http://www.aftenbell.com</t>
  </si>
  <si>
    <t xml:space="preserve">https://www.linkedin.com/in/aften-bell</t>
  </si>
  <si>
    <t xml:space="preserve">https://www.linkedin.com/company/aften-design-studio</t>
  </si>
  <si>
    <t xml:space="preserve">Founder &amp; Creative Director at Aften Design Studio | Founder at The Love Pit Rescue</t>
  </si>
  <si>
    <t xml:space="preserve">January 2017 - Present</t>
  </si>
  <si>
    <t xml:space="preserve">Role and industry align with the ICP; location matches; company size is close to ICP.</t>
  </si>
  <si>
    <t xml:space="preserve">Nourhan</t>
  </si>
  <si>
    <t xml:space="preserve">Wahdan</t>
  </si>
  <si>
    <t xml:space="preserve">pew. design bureau</t>
  </si>
  <si>
    <t xml:space="preserve">Los Angeles Metropolitan Area</t>
  </si>
  <si>
    <t xml:space="preserve">Pewdesign.com</t>
  </si>
  <si>
    <t xml:space="preserve">https://www.linkedin.com/in/nourhanwahdan</t>
  </si>
  <si>
    <t xml:space="preserve">https://www.linkedin.com/company/pewdesignbureau</t>
  </si>
  <si>
    <t xml:space="preserve">Brand Strategist + Creative Director | Self-Proclaimed Toyfication Expert | Founder @ pew. design bureau | Top 3% LinkedIn Creator Worldwide</t>
  </si>
  <si>
    <t xml:space="preserve">September 2017 - Present</t>
  </si>
  <si>
    <t xml:space="preserve">Role and company fit the ICP; industry, size, and US location align.</t>
  </si>
  <si>
    <t xml:space="preserve">Syed Zuhair</t>
  </si>
  <si>
    <t xml:space="preserve">Zaidi</t>
  </si>
  <si>
    <t xml:space="preserve">ZHSync Digital</t>
  </si>
  <si>
    <t xml:space="preserve">https://www.linkedin.com/in/zuhair-personal-branding</t>
  </si>
  <si>
    <t xml:space="preserve">https://www.linkedin.com/company/zhsync/</t>
  </si>
  <si>
    <t xml:space="preserve">Co-Founder &amp; Creative Director, ZHSync Digital | Brand systems + creative that grow profitable brands.</t>
  </si>
  <si>
    <t xml:space="preserve">1/11/2024 - now</t>
  </si>
  <si>
    <t xml:space="preserve">Role maps to Founder/Creative Director; industry and location align with the ICP; size is close to ICP bands.</t>
  </si>
  <si>
    <t xml:space="preserve">Yerman</t>
  </si>
  <si>
    <t xml:space="preserve">Study Hall Studio</t>
  </si>
  <si>
    <t xml:space="preserve">San Francisco Bay Area</t>
  </si>
  <si>
    <t xml:space="preserve">http://www.madeservice.net</t>
  </si>
  <si>
    <t xml:space="preserve">https://www.linkedin.com/in/matt-yerman-205a105b</t>
  </si>
  <si>
    <t xml:space="preserve">https://www.linkedin.com/company/studyhalldesign</t>
  </si>
  <si>
    <t xml:space="preserve">Co-Founder / Creative Director at Study Hall</t>
  </si>
  <si>
    <t xml:space="preserve">September 2020 - Present</t>
  </si>
  <si>
    <t xml:space="preserve">Role, industry, location, and company size align with the ICP.</t>
  </si>
  <si>
    <t xml:space="preserve">Mark</t>
  </si>
  <si>
    <t xml:space="preserve">Dreistadt</t>
  </si>
  <si>
    <t xml:space="preserve">President &amp; CEO</t>
  </si>
  <si>
    <t xml:space="preserve">IDEX Pro</t>
  </si>
  <si>
    <t xml:space="preserve">Export, Pennsylvania, United States</t>
  </si>
  <si>
    <t xml:space="preserve">http://www.infinityconcepts.com</t>
  </si>
  <si>
    <t xml:space="preserve">https://www.linkedin.com/in/markdreistadt</t>
  </si>
  <si>
    <t xml:space="preserve">https://www.linkedin.com/company/idex-pro</t>
  </si>
  <si>
    <t xml:space="preserve">Founder, President &amp; CEO at Infinity Concepts and Inspire Media Group</t>
  </si>
  <si>
    <t xml:space="preserve">January 2024 - Present</t>
  </si>
  <si>
    <t xml:space="preserve">Role aligns with ICP (Founder/CEO), industry and US location match; company size is slightly smaller than ICP.</t>
  </si>
  <si>
    <t xml:space="preserve">Nichole</t>
  </si>
  <si>
    <t xml:space="preserve">Rouillac</t>
  </si>
  <si>
    <t xml:space="preserve">level</t>
  </si>
  <si>
    <t xml:space="preserve">San Francisco, California, United States</t>
  </si>
  <si>
    <t xml:space="preserve">https://leveldesignsf.com</t>
  </si>
  <si>
    <t xml:space="preserve">https://www.linkedin.com/in/nicholerouillac</t>
  </si>
  <si>
    <t xml:space="preserve">https://www.linkedin.com/company/level-design-sf/</t>
  </si>
  <si>
    <t xml:space="preserve">Founder + Creative Director at level</t>
  </si>
  <si>
    <t xml:space="preserve">01/9/2016 - now</t>
  </si>
  <si>
    <t xml:space="preserve">Founder/Creative Director at a Design Services firm in the US aligns with ICP roles and location.</t>
  </si>
  <si>
    <t xml:space="preserve">Amy</t>
  </si>
  <si>
    <t xml:space="preserve">Draheim</t>
  </si>
  <si>
    <t xml:space="preserve">President &amp; Founder</t>
  </si>
  <si>
    <t xml:space="preserve">ABD Creative</t>
  </si>
  <si>
    <t xml:space="preserve">Bend, Oregon, United States</t>
  </si>
  <si>
    <t xml:space="preserve">amydraheim.com</t>
  </si>
  <si>
    <t xml:space="preserve">https://www.linkedin.com/in/amy-draheim</t>
  </si>
  <si>
    <t xml:space="preserve">https://www.linkedin.com/company/abd-creative</t>
  </si>
  <si>
    <t xml:space="preserve">We bring people to hotels, and hotels to people. Founder of ABD Creative and published author.</t>
  </si>
  <si>
    <t xml:space="preserve">July 2017 - Present</t>
  </si>
  <si>
    <t xml:space="preserve">Founder/President at a Marketing Services firm aligns with ICP.</t>
  </si>
  <si>
    <t xml:space="preserve">Fernando</t>
  </si>
  <si>
    <t xml:space="preserve">Lozano Montalvo</t>
  </si>
  <si>
    <t xml:space="preserve">CEO &amp; Founder | Creative Director</t>
  </si>
  <si>
    <t xml:space="preserve">Fenigs</t>
  </si>
  <si>
    <t xml:space="preserve">El Paso, Texas, United States</t>
  </si>
  <si>
    <t xml:space="preserve">https://www.linkedin.com/in/fernandolozanomontalvo</t>
  </si>
  <si>
    <t xml:space="preserve">https://www.linkedin.com/company/fenigsinterdesign</t>
  </si>
  <si>
    <t xml:space="preserve">Creative Director  —  Executive Storytelling, Live Experiences &amp; Multimedia Systems</t>
  </si>
  <si>
    <t xml:space="preserve">April 2019 - Present</t>
  </si>
  <si>
    <t xml:space="preserve">Role and company fit ICP; location, size, and industry align with the ICP.</t>
  </si>
  <si>
    <t xml:space="preserve">Raphael</t>
  </si>
  <si>
    <t xml:space="preserve">Farasat</t>
  </si>
  <si>
    <t xml:space="preserve">Truffl</t>
  </si>
  <si>
    <t xml:space="preserve">https://truffl.com</t>
  </si>
  <si>
    <t xml:space="preserve">https://www.linkedin.com/in/raphaelfarasat</t>
  </si>
  <si>
    <t xml:space="preserve">https://www.linkedin.com/company/truffl/</t>
  </si>
  <si>
    <t xml:space="preserve">Founder &amp; Creative Director at Truffl Branding Agency</t>
  </si>
  <si>
    <t xml:space="preserve">2/8/2014 - now</t>
  </si>
  <si>
    <t xml:space="preserve">Role and company align with ICP; located in US; industry matches.</t>
  </si>
  <si>
    <t xml:space="preserve">ken</t>
  </si>
  <si>
    <t xml:space="preserve">Griffen</t>
  </si>
  <si>
    <t xml:space="preserve">HI-VIS.WORLD</t>
  </si>
  <si>
    <t xml:space="preserve">part02.com</t>
  </si>
  <si>
    <t xml:space="preserve">https://www.linkedin.com/in/ken-griffen</t>
  </si>
  <si>
    <t xml:space="preserve">https://www.linkedin.com/company/hi-vis-world</t>
  </si>
  <si>
    <t xml:space="preserve">Founder / Head of Creative @ hi-vis.world | Video Direction, Photo Direction, Branding specializing in athletics</t>
  </si>
  <si>
    <t xml:space="preserve">January 2023 - Present</t>
  </si>
  <si>
    <t xml:space="preserve">Creative Director in Design Services in the US aligns with ICP criteria.</t>
  </si>
  <si>
    <t xml:space="preserve">Zelda</t>
  </si>
  <si>
    <t xml:space="preserve">E</t>
  </si>
  <si>
    <t xml:space="preserve">Strength Marks</t>
  </si>
  <si>
    <t xml:space="preserve">https://www.strengthmarks.com/</t>
  </si>
  <si>
    <t xml:space="preserve">https://www.linkedin.com/in/zelda-elisco</t>
  </si>
  <si>
    <t xml:space="preserve">https://www.linkedin.com/company/strength-marks</t>
  </si>
  <si>
    <t xml:space="preserve">Body-Empowerment Marketing | Founder, Strength Marks</t>
  </si>
  <si>
    <t xml:space="preserve">June 2018 - Present</t>
  </si>
  <si>
    <t xml:space="preserve">Founder with ICP role matches; location/industry align; company size below ICP band.</t>
  </si>
  <si>
    <t xml:space="preserve">Julie</t>
  </si>
  <si>
    <t xml:space="preserve">Stanescu</t>
  </si>
  <si>
    <t xml:space="preserve">Founder &amp; CEO</t>
  </si>
  <si>
    <t xml:space="preserve">RETHINK</t>
  </si>
  <si>
    <t xml:space="preserve">https://www.linkedin.com/redir/redirect?url=http://www.rethinkhq.com&amp;urlhash=SnlJ&amp;trk=public_profile_topcard-website</t>
  </si>
  <si>
    <t xml:space="preserve">https://www.linkedin.com/in/juliestanescu</t>
  </si>
  <si>
    <t xml:space="preserve">https://www.linkedin.com/company/rethinkhq</t>
  </si>
  <si>
    <t xml:space="preserve">Founder | Strategic Events | Creating curated learning experiences that connect you with the people who matter most.</t>
  </si>
  <si>
    <t xml:space="preserve">March 2017 - Present</t>
  </si>
  <si>
    <t xml:space="preserve">Role aligns with Founder/CEO; industry matches Design Services; US location; company size close to ICP.</t>
  </si>
  <si>
    <t xml:space="preserve">Luke</t>
  </si>
  <si>
    <t xml:space="preserve">Cline</t>
  </si>
  <si>
    <t xml:space="preserve">Relative Scale</t>
  </si>
  <si>
    <t xml:space="preserve">Raleigh, North Carolina, United States</t>
  </si>
  <si>
    <t xml:space="preserve">http://www.relativescale.com</t>
  </si>
  <si>
    <t xml:space="preserve">https://www.linkedin.com/in/lukecline</t>
  </si>
  <si>
    <t xml:space="preserve">https://www.linkedin.com/company/relative-scale</t>
  </si>
  <si>
    <t xml:space="preserve">Founder / Creative Director at Relative Scale</t>
  </si>
  <si>
    <t xml:space="preserve">March 2018 - Present</t>
  </si>
  <si>
    <t xml:space="preserve">Founder/Creative Director at a US design services firm aligns with ICP.</t>
  </si>
  <si>
    <t xml:space="preserve">Trevor</t>
  </si>
  <si>
    <t xml:space="preserve">McCool</t>
  </si>
  <si>
    <t xml:space="preserve">CEO / Creative Director</t>
  </si>
  <si>
    <t xml:space="preserve">Born Movement</t>
  </si>
  <si>
    <t xml:space="preserve">Colorado Springs, Colorado, United States</t>
  </si>
  <si>
    <t xml:space="preserve">https://bornmovement.com</t>
  </si>
  <si>
    <t xml:space="preserve">https://www.linkedin.com/in/trevor-mccool-46190823</t>
  </si>
  <si>
    <t xml:space="preserve">https://www.linkedin.com/company/born-movement</t>
  </si>
  <si>
    <t xml:space="preserve">Born Movement - CEO / Creative Director</t>
  </si>
  <si>
    <t xml:space="preserve">July 2025 - Present</t>
  </si>
  <si>
    <t xml:space="preserve">Role and company fit, industry, size, and US location match ICP.</t>
  </si>
  <si>
    <t xml:space="preserve">Jamie</t>
  </si>
  <si>
    <t xml:space="preserve">Feldheim</t>
  </si>
  <si>
    <t xml:space="preserve">Joyride Marketing</t>
  </si>
  <si>
    <t xml:space="preserve">Louisville, Kentucky, United States</t>
  </si>
  <si>
    <t xml:space="preserve">http://www.jamiefeldheim.com</t>
  </si>
  <si>
    <t xml:space="preserve">https://www.linkedin.com/in/jamie-feldheim-b5939b78</t>
  </si>
  <si>
    <t xml:space="preserve">https://www.linkedin.com/company/joyride-marketing</t>
  </si>
  <si>
    <t xml:space="preserve">Creative Director / Partner at Joyride Marketing | Leading startup brand acceleration and creative strategies</t>
  </si>
  <si>
    <t xml:space="preserve">Role, industry, and location align with ICP; company size slightly outside but adjacent.</t>
  </si>
  <si>
    <t xml:space="preserve">Niko</t>
  </si>
  <si>
    <t xml:space="preserve">Niarhos</t>
  </si>
  <si>
    <t xml:space="preserve">Flex Marketing</t>
  </si>
  <si>
    <t xml:space="preserve">Ossining, New York, United States</t>
  </si>
  <si>
    <t xml:space="preserve">https://www.linkedin.com/in/niko-niarhos-35655127</t>
  </si>
  <si>
    <t xml:space="preserve">https://www.linkedin.com/company/flexmktng</t>
  </si>
  <si>
    <t xml:space="preserve">Creative Director (Art)</t>
  </si>
  <si>
    <t xml:space="preserve">Role, industry, location, and company size all align with the ICP.</t>
  </si>
  <si>
    <t xml:space="preserve">Teri</t>
  </si>
  <si>
    <t xml:space="preserve">Hagemann</t>
  </si>
  <si>
    <t xml:space="preserve">Director of Client Services</t>
  </si>
  <si>
    <t xml:space="preserve">Splash Clinical</t>
  </si>
  <si>
    <t xml:space="preserve">Milwaukee, Wisconsin, United States</t>
  </si>
  <si>
    <t xml:space="preserve">https://www.linkedin.com/in/teri-hagemann-9104703</t>
  </si>
  <si>
    <t xml:space="preserve">https://linkedin.com/company/10652064</t>
  </si>
  <si>
    <t xml:space="preserve">Director of Client Services at Splash Clinical · Keeping trials enrolling — first patient in to last patient out</t>
  </si>
  <si>
    <t xml:space="preserve">03/01/2023 - Present</t>
  </si>
  <si>
    <t xml:space="preserve">Direct match on role, industry, size, and location with ICP expectations.</t>
  </si>
  <si>
    <t xml:space="preserve">Hazn</t>
  </si>
  <si>
    <t xml:space="preserve">Rizz</t>
  </si>
  <si>
    <t xml:space="preserve">Co-Founder &amp; Design Lead</t>
  </si>
  <si>
    <t xml:space="preserve">Design4Conversion</t>
  </si>
  <si>
    <t xml:space="preserve">design4conversion.com</t>
  </si>
  <si>
    <t xml:space="preserve">https://www.linkedin.com/in/haznsyed</t>
  </si>
  <si>
    <t xml:space="preserve">https://www.linkedin.com/company/design4conversion</t>
  </si>
  <si>
    <t xml:space="preserve">Co-Founder &amp; Design Lead @ Design4Conversion | Web Design, Web Development</t>
  </si>
  <si>
    <t xml:space="preserve">July 2018 - Present</t>
  </si>
  <si>
    <t xml:space="preserve">Founder-level role in Design Services within US aligns with ICP.</t>
  </si>
  <si>
    <t xml:space="preserve">Arslan</t>
  </si>
  <si>
    <t xml:space="preserve">Khaliq</t>
  </si>
  <si>
    <t xml:space="preserve">10Thirteen</t>
  </si>
  <si>
    <t xml:space="preserve">Garland, Texas, United States</t>
  </si>
  <si>
    <t xml:space="preserve">https://www.linkedin.com/in/arslan-khaliq-82410746</t>
  </si>
  <si>
    <t xml:space="preserve">https://www.linkedin.com/company/10thirteen</t>
  </si>
  <si>
    <t xml:space="preserve">Creative Director | Senior Brand &amp; Campaign Designer | AI-Driven Creative | SaaS &amp; B2B | Ex-Salesforce, Samsung | Dallas / Remote</t>
  </si>
  <si>
    <t xml:space="preserve">Creative Director role aligns with ICP; industry and location fit; company size slightly smaller but within acceptable band.</t>
  </si>
  <si>
    <t xml:space="preserve">Russell</t>
  </si>
  <si>
    <t xml:space="preserve">Estes</t>
  </si>
  <si>
    <t xml:space="preserve">Square Lightning Communications &amp; Design</t>
  </si>
  <si>
    <t xml:space="preserve">https://www.linkedin.com/in/russellestes</t>
  </si>
  <si>
    <t xml:space="preserve">https://www.linkedin.com/company/square-lightning-communications-design</t>
  </si>
  <si>
    <t xml:space="preserve">Creative Director at Square Lightning Communications &amp; Design</t>
  </si>
  <si>
    <t xml:space="preserve">July 2020 - Present</t>
  </si>
  <si>
    <t xml:space="preserve">Role and location align with ICP; industry matches; company size is slightly smaller.</t>
  </si>
  <si>
    <t xml:space="preserve">Bayless</t>
  </si>
  <si>
    <t xml:space="preserve">Thompson</t>
  </si>
  <si>
    <t xml:space="preserve">Co-Founder + Creative Director</t>
  </si>
  <si>
    <t xml:space="preserve">Kidsister</t>
  </si>
  <si>
    <t xml:space="preserve">Springfield, Missouri, United States</t>
  </si>
  <si>
    <t xml:space="preserve">https://www.behance.net/bayless</t>
  </si>
  <si>
    <t xml:space="preserve">https://www.linkedin.com/in/bayless-thompson</t>
  </si>
  <si>
    <t xml:space="preserve">https://www.linkedin.com/company/kidsister</t>
  </si>
  <si>
    <t xml:space="preserve">Strategic Marketing Creative | Graphic Designer &amp; Copywriter</t>
  </si>
  <si>
    <t xml:space="preserve">Founding/creative leadership aligns; US location; matching industry; near ICP size.</t>
  </si>
  <si>
    <t xml:space="preserve">Samantha</t>
  </si>
  <si>
    <t xml:space="preserve">Hickey</t>
  </si>
  <si>
    <t xml:space="preserve">Owner &amp; Creative Director</t>
  </si>
  <si>
    <t xml:space="preserve">Blue Coral Creative</t>
  </si>
  <si>
    <t xml:space="preserve">Dayton, Ohio, United States</t>
  </si>
  <si>
    <t xml:space="preserve">https://www.linkedin.com/in/samhickey</t>
  </si>
  <si>
    <t xml:space="preserve">https://www.linkedin.com/company/blue-coral-creative</t>
  </si>
  <si>
    <t xml:space="preserve">Creative Director at Blue Coral Creative</t>
  </si>
  <si>
    <t xml:space="preserve">January 2021 - Present</t>
  </si>
  <si>
    <t xml:space="preserve">Role maps to Creative Director; industry matches Design Services in US; company size is close to ICP bands; location is within ICP region.</t>
  </si>
  <si>
    <t xml:space="preserve">Ravi Kumar</t>
  </si>
  <si>
    <t xml:space="preserve">Sapata </t>
  </si>
  <si>
    <t xml:space="preserve">Founder/CEO</t>
  </si>
  <si>
    <t xml:space="preserve">PropTechBuzz</t>
  </si>
  <si>
    <t xml:space="preserve">Dover, Delaware, United States</t>
  </si>
  <si>
    <t xml:space="preserve">https://proptechbuzz.com</t>
  </si>
  <si>
    <t xml:space="preserve">https://www.linkedin.com/in/yoursproductly</t>
  </si>
  <si>
    <t xml:space="preserve">https://www.linkedin.com/company/proptechbuzz/</t>
  </si>
  <si>
    <t xml:space="preserve">Founder/CEO PropTechBuzz</t>
  </si>
  <si>
    <t xml:space="preserve">6/6/2022 - now</t>
  </si>
  <si>
    <t xml:space="preserve">Founder/CEO in Marketing Services with US location and 11-50 staff fit ICP.</t>
  </si>
  <si>
    <t xml:space="preserve">Yagmur</t>
  </si>
  <si>
    <t xml:space="preserve">Altan</t>
  </si>
  <si>
    <t xml:space="preserve">100Percent</t>
  </si>
  <si>
    <t xml:space="preserve">www.yagmuraltan.com</t>
  </si>
  <si>
    <t xml:space="preserve">https://www.linkedin.com/in/yagmur-altan</t>
  </si>
  <si>
    <t xml:space="preserve">https://www.linkedin.com/company/100percentagency</t>
  </si>
  <si>
    <t xml:space="preserve">Creative Director / Animation Director</t>
  </si>
  <si>
    <t xml:space="preserve">February 2026 - Present</t>
  </si>
  <si>
    <t xml:space="preserve">Role, industry, location, and company size align with the ICP requirements.</t>
  </si>
  <si>
    <t xml:space="preserve">Lashay B.</t>
  </si>
  <si>
    <t xml:space="preserve">J.</t>
  </si>
  <si>
    <t xml:space="preserve">HAUS of SHAYB</t>
  </si>
  <si>
    <t xml:space="preserve">Charlotte, North Carolina, United States</t>
  </si>
  <si>
    <t xml:space="preserve">https://www.linkedin.com/in/labjones</t>
  </si>
  <si>
    <t xml:space="preserve">https://www.linkedin.com/company/haus-of-shayb/</t>
  </si>
  <si>
    <t xml:space="preserve">Brand Strategist | Merchandising Professional | AI Creative Director | Founder at Haus of Shay B</t>
  </si>
  <si>
    <t xml:space="preserve">5/01/2026 - now</t>
  </si>
  <si>
    <t xml:space="preserve">Role and industry align with ICP; location and company size are a close fit.</t>
  </si>
  <si>
    <t xml:space="preserve">Jamison</t>
  </si>
  <si>
    <t xml:space="preserve">Taylor, MBA</t>
  </si>
  <si>
    <t xml:space="preserve">Artisyn &amp; Co.</t>
  </si>
  <si>
    <t xml:space="preserve">Afton, Virginia, United States</t>
  </si>
  <si>
    <t xml:space="preserve">www.merakilifecoaching.com</t>
  </si>
  <si>
    <t xml:space="preserve">https://www.linkedin.com/in/jamisontaylor</t>
  </si>
  <si>
    <t xml:space="preserve">https://linkedin.com/company/116002108</t>
  </si>
  <si>
    <t xml:space="preserve">Founder &amp; Creative Director, Artisyn &amp; Co. | Building brands with empathy, creativity, and business design</t>
  </si>
  <si>
    <t xml:space="preserve">03/01/2026 - Present</t>
  </si>
  <si>
    <t xml:space="preserve">Founder &amp; Creative Director at a US marketing services firm aligns with the ICP; location and industry match; company size is one band smaller than the ICP.</t>
  </si>
  <si>
    <t xml:space="preserve">2026-09-07 09:23</t>
  </si>
  <si>
    <t xml:space="preserve">Chris</t>
  </si>
  <si>
    <t xml:space="preserve">Oyegoke</t>
  </si>
  <si>
    <t xml:space="preserve">Urban Events Media</t>
  </si>
  <si>
    <t xml:space="preserve">https://www.linkedin.com/in/chris-oyegoke-504364135</t>
  </si>
  <si>
    <t xml:space="preserve">https://www.linkedin.com/company/urban-events-media</t>
  </si>
  <si>
    <t xml:space="preserve">Helping construction, energy &amp; data companies build authority through strategic content</t>
  </si>
  <si>
    <t xml:space="preserve">Founder/Creative Director in Marketing Services US aligns with ICP.</t>
  </si>
  <si>
    <t xml:space="preserve">Olisa</t>
  </si>
  <si>
    <t xml:space="preserve">Ogbolu</t>
  </si>
  <si>
    <t xml:space="preserve">LSMK</t>
  </si>
  <si>
    <t xml:space="preserve">http://be.net/lsmkstudios</t>
  </si>
  <si>
    <t xml:space="preserve">https://www.linkedin.com/in/olisaogbolu</t>
  </si>
  <si>
    <t xml:space="preserve">https://linkedin.com/company/117924226</t>
  </si>
  <si>
    <t xml:space="preserve">Art Direction | Design | Photography | Music</t>
  </si>
  <si>
    <t xml:space="preserve">02/01/2015 - Present</t>
  </si>
  <si>
    <t xml:space="preserve">Role aligned to ICP and location/industry fit for US design services</t>
  </si>
  <si>
    <t xml:space="preserve">Niall</t>
  </si>
  <si>
    <t xml:space="preserve">Booker</t>
  </si>
  <si>
    <t xml:space="preserve">President / Art Director / Creative Director</t>
  </si>
  <si>
    <t xml:space="preserve">MultiPersona</t>
  </si>
  <si>
    <t xml:space="preserve">http://www.multipersona.com</t>
  </si>
  <si>
    <t xml:space="preserve">https://www.linkedin.com/in/niallbooker</t>
  </si>
  <si>
    <t xml:space="preserve">https://www.linkedin.com/company/multipersona</t>
  </si>
  <si>
    <t xml:space="preserve">Art Director and Senior CG Environment and DMP TD and Artist</t>
  </si>
  <si>
    <t xml:space="preserve">May 2008 - Present</t>
  </si>
  <si>
    <t xml:space="preserve">Role aligns with ICP titles; industry and location match US design services; company size is close to ICP range.</t>
  </si>
  <si>
    <t xml:space="preserve">Annie</t>
  </si>
  <si>
    <t xml:space="preserve">Bradford</t>
  </si>
  <si>
    <t xml:space="preserve">Founder/Creative Director</t>
  </si>
  <si>
    <t xml:space="preserve">Bonfire Creative</t>
  </si>
  <si>
    <t xml:space="preserve">Austin, Texas, United States</t>
  </si>
  <si>
    <t xml:space="preserve">https://www.linkedin.com/in/annie-bradford-395b8751</t>
  </si>
  <si>
    <t xml:space="preserve">https://www.linkedin.com/company/bonfire-creative</t>
  </si>
  <si>
    <t xml:space="preserve">Photographer + Director at Bonfire Creative</t>
  </si>
  <si>
    <t xml:space="preserve">Founder/Creative Director at a US-based marketing services agency aligns with ICP roles and location.</t>
  </si>
  <si>
    <t xml:space="preserve">Christian</t>
  </si>
  <si>
    <t xml:space="preserve">Quinones</t>
  </si>
  <si>
    <t xml:space="preserve">Made For Kings</t>
  </si>
  <si>
    <t xml:space="preserve">Brooklyn, New York, United States</t>
  </si>
  <si>
    <t xml:space="preserve">http://www.madeforkings.com</t>
  </si>
  <si>
    <t xml:space="preserve">https://www.linkedin.com/in/christian-quinones-35219621</t>
  </si>
  <si>
    <t xml:space="preserve">https://www.linkedin.com/company/made-for-kings</t>
  </si>
  <si>
    <t xml:space="preserve">October 2009 - Present</t>
  </si>
  <si>
    <t xml:space="preserve">Creative Director in Design Services, US, with a 2-10 employee company aligns with ICP role, industry, location, and near ICP size.</t>
  </si>
  <si>
    <t xml:space="preserve">Sarah</t>
  </si>
  <si>
    <t xml:space="preserve">Rainwater</t>
  </si>
  <si>
    <t xml:space="preserve">Studio Rainwater</t>
  </si>
  <si>
    <t xml:space="preserve">Providence, Rhode Island, United States</t>
  </si>
  <si>
    <t xml:space="preserve">https://www.linkedin.com/redir/redirect?url=http://www.studiorainwater.com&amp;urlhash=K762&amp;trk=public_profile_topcard-website</t>
  </si>
  <si>
    <t xml:space="preserve">https://www.linkedin.com/in/sarahrainwater</t>
  </si>
  <si>
    <t xml:space="preserve">https://www.linkedin.com/company/studiorainwater</t>
  </si>
  <si>
    <t xml:space="preserve">Brand and Design Strategist, Creative Director at Studio Rainwater</t>
  </si>
  <si>
    <t xml:space="preserve">Strong fit: Founder/Creative Director in Design Services, US-based, with near-matching company size.</t>
  </si>
  <si>
    <t xml:space="preserve">Borzou</t>
  </si>
  <si>
    <t xml:space="preserve">Azabdaftari</t>
  </si>
  <si>
    <t xml:space="preserve">NickelBronx</t>
  </si>
  <si>
    <t xml:space="preserve">McLean, Virginia, United States</t>
  </si>
  <si>
    <t xml:space="preserve">https://nickelbronx.com</t>
  </si>
  <si>
    <t xml:space="preserve">https://www.linkedin.com/in/borzou</t>
  </si>
  <si>
    <t xml:space="preserve">https://www.linkedin.com/company/nickelbronx/</t>
  </si>
  <si>
    <t xml:space="preserve">Founder &amp; Creative Director, @NickelBronx | Keynote Speaker | Fractional Creative Leadership | Most things could be better. I help founders and brands close the gap.</t>
  </si>
  <si>
    <t xml:space="preserve">01/4/2021 - now</t>
  </si>
  <si>
    <t xml:space="preserve">Strong fit: Founder/Creative Director in US marketing services with 11-50 staff.</t>
  </si>
  <si>
    <t xml:space="preserve">Meg</t>
  </si>
  <si>
    <t xml:space="preserve">Goeman</t>
  </si>
  <si>
    <t xml:space="preserve">Sol Design</t>
  </si>
  <si>
    <t xml:space="preserve">Grand Rapids, Michigan, United States</t>
  </si>
  <si>
    <t xml:space="preserve">https://meggoeman.com/</t>
  </si>
  <si>
    <t xml:space="preserve">https://www.linkedin.com/in/meahgangoeman</t>
  </si>
  <si>
    <t xml:space="preserve">https://www.linkedin.com/company/design-with-sol</t>
  </si>
  <si>
    <t xml:space="preserve">Creative Director | Graphic Designer</t>
  </si>
  <si>
    <t xml:space="preserve">Role matches ICP and location/industry align well with the ICP.</t>
  </si>
  <si>
    <t xml:space="preserve">Sara</t>
  </si>
  <si>
    <t xml:space="preserve">Malough</t>
  </si>
  <si>
    <t xml:space="preserve">JANE Media Services</t>
  </si>
  <si>
    <t xml:space="preserve">Riverbank, California, United States</t>
  </si>
  <si>
    <t xml:space="preserve">https://www.linkedin.com/in/sara-malough-53a4118a</t>
  </si>
  <si>
    <t xml:space="preserve">https://www.linkedin.com/company/jane-media-services</t>
  </si>
  <si>
    <t xml:space="preserve">Founder &amp; CEO @ Jane Media Services | Digital Marketing, Content Creation, Brand Activations</t>
  </si>
  <si>
    <t xml:space="preserve">January 2018 - Present</t>
  </si>
  <si>
    <t xml:space="preserve">Founder &amp; CEO of a Marketing Services firm in the US aligns with ICP.</t>
  </si>
  <si>
    <t xml:space="preserve">Adam</t>
  </si>
  <si>
    <t xml:space="preserve">Dell</t>
  </si>
  <si>
    <t xml:space="preserve">Purple Frog</t>
  </si>
  <si>
    <t xml:space="preserve">Irvington, New York, United States</t>
  </si>
  <si>
    <t xml:space="preserve">https://www.acdell.com/portfolio/</t>
  </si>
  <si>
    <t xml:space="preserve">https://www.linkedin.com/in/acdell1</t>
  </si>
  <si>
    <t xml:space="preserve">https://www.linkedin.com/company/purple-frog</t>
  </si>
  <si>
    <t xml:space="preserve">Multidisciplinary Creative Tech</t>
  </si>
  <si>
    <t xml:space="preserve">Creative Director aligns with ICP role; location, industry, and company size match.</t>
  </si>
  <si>
    <t xml:space="preserve">Jordan</t>
  </si>
  <si>
    <t xml:space="preserve">Frank</t>
  </si>
  <si>
    <t xml:space="preserve">Courageous</t>
  </si>
  <si>
    <t xml:space="preserve">Boulder, Colorado, United States</t>
  </si>
  <si>
    <t xml:space="preserve">https://courageoushq.com</t>
  </si>
  <si>
    <t xml:space="preserve">https://www.linkedin.com/in/jordan-frank-46085625</t>
  </si>
  <si>
    <t xml:space="preserve">https://www.linkedin.com/company/courageous-growth-agency/</t>
  </si>
  <si>
    <t xml:space="preserve">1/9/2023 - now</t>
  </si>
  <si>
    <t xml:space="preserve">Founder/CEO aligns with ICP roles in advertising services in the US.</t>
  </si>
  <si>
    <t xml:space="preserve">Sofia</t>
  </si>
  <si>
    <t xml:space="preserve">Mondelo</t>
  </si>
  <si>
    <t xml:space="preserve">28 Cylinders</t>
  </si>
  <si>
    <t xml:space="preserve">scmondelo.com</t>
  </si>
  <si>
    <t xml:space="preserve">https://www.linkedin.com/in/sofia-mondelo-74b414173</t>
  </si>
  <si>
    <t xml:space="preserve">https://www.linkedin.com/company/28-cylinders</t>
  </si>
  <si>
    <t xml:space="preserve">Creative Director + Founder at 28 Cylinders | Creative Operations + Project Manager | Story-Led Content + Systems Thinker | Bilingual</t>
  </si>
  <si>
    <t xml:space="preserve">2023 - Present</t>
  </si>
  <si>
    <t xml:space="preserve">Founder/Creative Director in Marketing Services US; close to ICP size band.</t>
  </si>
  <si>
    <t xml:space="preserve">Belinda</t>
  </si>
  <si>
    <t xml:space="preserve">Chen</t>
  </si>
  <si>
    <t xml:space="preserve">Superficial</t>
  </si>
  <si>
    <t xml:space="preserve">http://www.superficial.studio</t>
  </si>
  <si>
    <t xml:space="preserve">https://www.linkedin.com/in/belinda-chen-ab305258</t>
  </si>
  <si>
    <t xml:space="preserve">https://www.linkedin.com/company/superficial</t>
  </si>
  <si>
    <t xml:space="preserve">Creative Director at Superficial</t>
  </si>
  <si>
    <t xml:space="preserve">September 2016 - Present</t>
  </si>
  <si>
    <t xml:space="preserve">Role aligns with ICP and industry matches; located in the US, with a near-ICP company size.</t>
  </si>
  <si>
    <t xml:space="preserve">Alejandra</t>
  </si>
  <si>
    <t xml:space="preserve">Dunphy</t>
  </si>
  <si>
    <t xml:space="preserve">A+D Interior Design Studio</t>
  </si>
  <si>
    <t xml:space="preserve">Atlanta, Georgia, United States</t>
  </si>
  <si>
    <t xml:space="preserve">http://www.a-dstudio.com</t>
  </si>
  <si>
    <t xml:space="preserve">https://www.linkedin.com/in/alejandra-dunphy-078a598</t>
  </si>
  <si>
    <t xml:space="preserve">https://www.linkedin.com/company/adstudioatlanta</t>
  </si>
  <si>
    <t xml:space="preserve">Creative Director at A+D Interior Design Studio. Adjunct Professor, Interior Design</t>
  </si>
  <si>
    <t xml:space="preserve">September 2008 - Present</t>
  </si>
  <si>
    <t xml:space="preserve">Creative Director in Design Services, US location, company size near ICP band; role maps to ICP title.</t>
  </si>
  <si>
    <t xml:space="preserve">Gabriel</t>
  </si>
  <si>
    <t xml:space="preserve">Lindman</t>
  </si>
  <si>
    <t xml:space="preserve">Illume Design Co</t>
  </si>
  <si>
    <t xml:space="preserve">https://www.linkedin.com/in/gabriellindman</t>
  </si>
  <si>
    <t xml:space="preserve">https://www.linkedin.com/company/illumedesignco</t>
  </si>
  <si>
    <t xml:space="preserve">Founder &amp; Creative Director @ Illume | Brand Strategy, Identity, &amp; Design</t>
  </si>
  <si>
    <t xml:space="preserve">September 2024 - Present</t>
  </si>
  <si>
    <t xml:space="preserve">Role maps to Founder/Creative Director and location/industry align with ICP.</t>
  </si>
  <si>
    <t xml:space="preserve">Mason</t>
  </si>
  <si>
    <t xml:space="preserve">CEO and Creative Director</t>
  </si>
  <si>
    <t xml:space="preserve">DigiMade Studios</t>
  </si>
  <si>
    <t xml:space="preserve">https://www.digimadestudios.com/</t>
  </si>
  <si>
    <t xml:space="preserve">https://www.linkedin.com/in/masonespedal</t>
  </si>
  <si>
    <t xml:space="preserve">https://www.linkedin.com/company/digimade-studios</t>
  </si>
  <si>
    <t xml:space="preserve">CEO &amp; Creative Director at DigiMade Studios | Beverage Branding &amp; Can Design Expert</t>
  </si>
  <si>
    <t xml:space="preserve">Role aligns with ICP as CEO/Creative Director in a US Design Services firm.</t>
  </si>
  <si>
    <t xml:space="preserve">Eden</t>
  </si>
  <si>
    <t xml:space="preserve">Fenwick</t>
  </si>
  <si>
    <t xml:space="preserve">http://www.fenwick.media</t>
  </si>
  <si>
    <t xml:space="preserve">https://www.linkedin.com/in/chrismattheweden</t>
  </si>
  <si>
    <t xml:space="preserve">https://linkedin.com/company/7952651</t>
  </si>
  <si>
    <t xml:space="preserve">B2B creative director. Edits Rewild Magazine</t>
  </si>
  <si>
    <t xml:space="preserve">10/01/2022 - Present</t>
  </si>
  <si>
    <t xml:space="preserve">Strong alignment across title, industry, size, and location per ICP.</t>
  </si>
  <si>
    <t xml:space="preserve">Tina</t>
  </si>
  <si>
    <t xml:space="preserve">Fascetti</t>
  </si>
  <si>
    <t xml:space="preserve">Founder/Partner Global Creative Director</t>
  </si>
  <si>
    <t xml:space="preserve">The Jump</t>
  </si>
  <si>
    <t xml:space="preserve">Newtown, Pennsylvania, United States</t>
  </si>
  <si>
    <t xml:space="preserve">https://www.linkedin.com/redir/redirect?url=https://thejump.info/&amp;urlhash=2uBb&amp;trk=public_profile_topcard-website</t>
  </si>
  <si>
    <t xml:space="preserve">https://www.linkedin.com/in/tinafascetti</t>
  </si>
  <si>
    <t xml:space="preserve">https://www.linkedin.com/company/the-jump-brand-consultants</t>
  </si>
  <si>
    <t xml:space="preserve">Founder/Partner Global Creative Director, The Jump</t>
  </si>
  <si>
    <t xml:space="preserve">Founder/Creative leadership aligns with ICP; industry and US location match; company size is within one band off of ICP.</t>
  </si>
  <si>
    <t xml:space="preserve">Zippy</t>
  </si>
  <si>
    <t xml:space="preserve">Burman</t>
  </si>
  <si>
    <t xml:space="preserve">Founder and Creative Director</t>
  </si>
  <si>
    <t xml:space="preserve">Greetings From Studio</t>
  </si>
  <si>
    <t xml:space="preserve">https://greetingsfrom.studio/</t>
  </si>
  <si>
    <t xml:space="preserve">https://www.linkedin.com/in/zippy-burman</t>
  </si>
  <si>
    <t xml:space="preserve">https://www.linkedin.com/company/greetings-from-studio</t>
  </si>
  <si>
    <t xml:space="preserve">Founder and Creative Director at Greetings From</t>
  </si>
  <si>
    <t xml:space="preserve">Strong fit: Founder/Creative Director in Design Services, US location, and company size close to ICP.</t>
  </si>
  <si>
    <t xml:space="preserve">Emilie</t>
  </si>
  <si>
    <t xml:space="preserve">Hunter</t>
  </si>
  <si>
    <t xml:space="preserve">Drum Creative</t>
  </si>
  <si>
    <t xml:space="preserve">Greenville, South Carolina, United States</t>
  </si>
  <si>
    <t xml:space="preserve">https://www.linkedin.com/in/emiliehunter</t>
  </si>
  <si>
    <t xml:space="preserve">https://www.linkedin.com/company/drum-creative</t>
  </si>
  <si>
    <t xml:space="preserve">Client Strategy, Growth, &amp; Success at Drum Creative</t>
  </si>
  <si>
    <t xml:space="preserve">April 2026 - Present</t>
  </si>
  <si>
    <t xml:space="preserve">Role aligns with ICP; industry, location, and company size match the ICP.</t>
  </si>
  <si>
    <t xml:space="preserve">Seonhye</t>
  </si>
  <si>
    <t xml:space="preserve">Oh</t>
  </si>
  <si>
    <t xml:space="preserve">EPIC CONTENT</t>
  </si>
  <si>
    <t xml:space="preserve">Williamsburg, Virginia, United States</t>
  </si>
  <si>
    <t xml:space="preserve">https://www.linkedin.com/in/sgraceoh</t>
  </si>
  <si>
    <t xml:space="preserve">https://www.linkedin.com/company/epiccontentagency</t>
  </si>
  <si>
    <t xml:space="preserve">Creative Director, Designer &amp; Educator</t>
  </si>
  <si>
    <t xml:space="preserve">2018 - Present</t>
  </si>
  <si>
    <t xml:space="preserve">Role aligns with ICP (Creative Director); industry, location, and company size match.</t>
  </si>
  <si>
    <t xml:space="preserve">Rebecca</t>
  </si>
  <si>
    <t xml:space="preserve">Bartlett</t>
  </si>
  <si>
    <t xml:space="preserve">Bartlett Brands</t>
  </si>
  <si>
    <t xml:space="preserve">http://bartlettbrands.com</t>
  </si>
  <si>
    <t xml:space="preserve">https://www.linkedin.com/in/rebecca-bartlett-2226614</t>
  </si>
  <si>
    <t xml:space="preserve">https://www.linkedin.com/company/bartlett-brands</t>
  </si>
  <si>
    <t xml:space="preserve">Principal &amp; Executive Creative Director @ Bartlett Brands | Brand Builder | Advisor | Investor</t>
  </si>
  <si>
    <t xml:space="preserve">October 2011 - Present</t>
  </si>
  <si>
    <t xml:space="preserve">Founding leadership role in US marketing services aligns with ICP requirements.</t>
  </si>
  <si>
    <t xml:space="preserve">Satyen</t>
  </si>
  <si>
    <t xml:space="preserve">Rao</t>
  </si>
  <si>
    <t xml:space="preserve">Satyate</t>
  </si>
  <si>
    <t xml:space="preserve">New York City Metropolitan Area, United States</t>
  </si>
  <si>
    <t xml:space="preserve">https://satyate.com</t>
  </si>
  <si>
    <t xml:space="preserve">https://www.linkedin.com/in/satyenr</t>
  </si>
  <si>
    <t xml:space="preserve">https://www.linkedin.com/company/satyate/</t>
  </si>
  <si>
    <t xml:space="preserve">Creative Director. Founder. 13 years across news, social &amp; brand. Built award-winning content studios at Ogilvy NY &amp; Singapore. Coca-Cola · Merck · American Express. Now building Satyate.</t>
  </si>
  <si>
    <t xml:space="preserve">2/01/2024 - now</t>
  </si>
  <si>
    <t xml:space="preserve">Role aligns with ICP; industry matches Advertising Services; location and size align; strong overall fit.</t>
  </si>
  <si>
    <t xml:space="preserve">Fletcher</t>
  </si>
  <si>
    <t xml:space="preserve">Martin</t>
  </si>
  <si>
    <t xml:space="preserve">Creative Director / Co-Founder</t>
  </si>
  <si>
    <t xml:space="preserve">a5 Branding &amp; Digital</t>
  </si>
  <si>
    <t xml:space="preserve">Greater Chicago Area</t>
  </si>
  <si>
    <t xml:space="preserve">http://www.a5inc.com</t>
  </si>
  <si>
    <t xml:space="preserve">https://www.linkedin.com/in/fletchmartin</t>
  </si>
  <si>
    <t xml:space="preserve">https://www.linkedin.com/company/a5-branding-and-digital</t>
  </si>
  <si>
    <t xml:space="preserve">Creative Director at a5</t>
  </si>
  <si>
    <t xml:space="preserve">June 2000 - Present</t>
  </si>
  <si>
    <t xml:space="preserve">Title, industry, company size, and US location closely match the ICP criteria.</t>
  </si>
  <si>
    <t xml:space="preserve">Grieve</t>
  </si>
  <si>
    <t xml:space="preserve">Score Atlanta</t>
  </si>
  <si>
    <t xml:space="preserve">51 - 200</t>
  </si>
  <si>
    <t xml:space="preserve">Atlanta Metropolitan Area, United States</t>
  </si>
  <si>
    <t xml:space="preserve">https://scoreatl.com</t>
  </si>
  <si>
    <t xml:space="preserve">https://www.linkedin.com/in/lauragrieve</t>
  </si>
  <si>
    <t xml:space="preserve">https://www.linkedin.com/company/score-atlanta/</t>
  </si>
  <si>
    <t xml:space="preserve">Creative Director @ Score Atlanta | Graphic Design, Event Production</t>
  </si>
  <si>
    <t xml:space="preserve">4/5/2022 - now</t>
  </si>
  <si>
    <t xml:space="preserve">Role matches ICP (Creative Director) with location/industry alignment; company size is one band off from ICP.</t>
  </si>
  <si>
    <t xml:space="preserve">Maggie</t>
  </si>
  <si>
    <t xml:space="preserve">Dougherty</t>
  </si>
  <si>
    <t xml:space="preserve">Co-founder &amp; Creative Director</t>
  </si>
  <si>
    <t xml:space="preserve">emcee content &amp; design</t>
  </si>
  <si>
    <t xml:space="preserve">West Chester, Pennsylvania, United States</t>
  </si>
  <si>
    <t xml:space="preserve">https://theemceestudio.com/</t>
  </si>
  <si>
    <t xml:space="preserve">https://www.linkedin.com/in/maggie-dougherty</t>
  </si>
  <si>
    <t xml:space="preserve">https://www.linkedin.com/company/emcee-studio</t>
  </si>
  <si>
    <t xml:space="preserve">Co-founder + Creative Director</t>
  </si>
  <si>
    <t xml:space="preserve">April 2021 - Present</t>
  </si>
  <si>
    <t xml:space="preserve">Founder/Creative Director in Design Services based in the US; strong ICP fit.</t>
  </si>
  <si>
    <t xml:space="preserve">Diana</t>
  </si>
  <si>
    <t xml:space="preserve">García</t>
  </si>
  <si>
    <t xml:space="preserve">Veintidós Studio</t>
  </si>
  <si>
    <t xml:space="preserve">Denver, Colorado, United States</t>
  </si>
  <si>
    <t xml:space="preserve">https://www.dianagrc.com/</t>
  </si>
  <si>
    <t xml:space="preserve">https://www.linkedin.com/in/dianagrc</t>
  </si>
  <si>
    <t xml:space="preserve">https://www.linkedin.com/company/veintidós-studio</t>
  </si>
  <si>
    <t xml:space="preserve">Bilingual Graphic Designer | Creative Director &amp; Branding Strategist</t>
  </si>
  <si>
    <t xml:space="preserve">July 2021 - Present</t>
  </si>
  <si>
    <t xml:space="preserve">Founder/Creative Director aligns with ICP roles; location matches US; industry matches; company size diverges from ICP.</t>
  </si>
  <si>
    <t xml:space="preserve">Meredith</t>
  </si>
  <si>
    <t xml:space="preserve">Mele</t>
  </si>
  <si>
    <t xml:space="preserve">Creative Director + Co-Founder</t>
  </si>
  <si>
    <t xml:space="preserve">Spruce + Furn</t>
  </si>
  <si>
    <t xml:space="preserve">http://www.krop.com/mjmele</t>
  </si>
  <si>
    <t xml:space="preserve">https://www.linkedin.com/in/mjmele</t>
  </si>
  <si>
    <t xml:space="preserve">https://www.linkedin.com/company/spruce-and-furn</t>
  </si>
  <si>
    <t xml:space="preserve">Creative Director + Co-Founder at Spruce + Furn</t>
  </si>
  <si>
    <t xml:space="preserve">July 2014 - Present</t>
  </si>
  <si>
    <t xml:space="preserve">Creative Director/Co-Founder in Design Services within US; strong fit.</t>
  </si>
  <si>
    <t xml:space="preserve">Will</t>
  </si>
  <si>
    <t xml:space="preserve">P.</t>
  </si>
  <si>
    <t xml:space="preserve">Saam3 Creative</t>
  </si>
  <si>
    <t xml:space="preserve">Wanaque, New Jersey, United States</t>
  </si>
  <si>
    <t xml:space="preserve">https://www.linkedin.com/in/will-p-318a312</t>
  </si>
  <si>
    <t xml:space="preserve">https://www.linkedin.com/company/saam3-creative</t>
  </si>
  <si>
    <t xml:space="preserve">Founder of Saam3 Creative</t>
  </si>
  <si>
    <t xml:space="preserve">Role, industry, company size, and location align with the ICP.</t>
  </si>
  <si>
    <t xml:space="preserve">Shaik</t>
  </si>
  <si>
    <t xml:space="preserve">Ridzwan</t>
  </si>
  <si>
    <t xml:space="preserve">Founder | Creative Director</t>
  </si>
  <si>
    <t xml:space="preserve">The Mighty Motor</t>
  </si>
  <si>
    <t xml:space="preserve">http://Themightymotor.com</t>
  </si>
  <si>
    <t xml:space="preserve">https://www.linkedin.com/in/shaikridzwan</t>
  </si>
  <si>
    <t xml:space="preserve">https://www.linkedin.com/company/mimocreate</t>
  </si>
  <si>
    <t xml:space="preserve">Creative Director | Founder at The Mighty Motor | Principal at MIMO.LA</t>
  </si>
  <si>
    <t xml:space="preserve">Role matches ICP founder/creative director in US design services; industry aligns; company size slightly smaller but close; location matches US</t>
  </si>
  <si>
    <t xml:space="preserve">Alexander</t>
  </si>
  <si>
    <t xml:space="preserve">Acker</t>
  </si>
  <si>
    <t xml:space="preserve">Adventure House</t>
  </si>
  <si>
    <t xml:space="preserve">https://adventurehousenyc.com</t>
  </si>
  <si>
    <t xml:space="preserve">https://www.linkedin.com/in/alexanderacker</t>
  </si>
  <si>
    <t xml:space="preserve">https://www.linkedin.com/company/adventure-house/</t>
  </si>
  <si>
    <t xml:space="preserve">President | Founder | Digital Agency Leader</t>
  </si>
  <si>
    <t xml:space="preserve">5/9/1998 - now</t>
  </si>
  <si>
    <t xml:space="preserve">Role aligns with ICP; industry matches; location US; company size slightly small.</t>
  </si>
  <si>
    <t xml:space="preserve">Kelsey</t>
  </si>
  <si>
    <t xml:space="preserve">Glassman</t>
  </si>
  <si>
    <t xml:space="preserve">Bread &amp; Butter Designs</t>
  </si>
  <si>
    <t xml:space="preserve">http://www.kelseydenison.com</t>
  </si>
  <si>
    <t xml:space="preserve">https://www.linkedin.com/in/kelsey-glassman-aa362087</t>
  </si>
  <si>
    <t xml:space="preserve">https://www.linkedin.com/company/bread-butter-designs</t>
  </si>
  <si>
    <t xml:space="preserve">Co-Founder &amp; Creative Director @ Bread &amp; Butter Designs | Branding, Product Design Leader</t>
  </si>
  <si>
    <t xml:space="preserve">Role and company fit the ICP criteria with strong alignment in title, industry, location, and near-match company size.</t>
  </si>
  <si>
    <t xml:space="preserve">Manuelita</t>
  </si>
  <si>
    <t xml:space="preserve">Rangel Sosa</t>
  </si>
  <si>
    <t xml:space="preserve">We are SuperWorks</t>
  </si>
  <si>
    <t xml:space="preserve">https://www.wearesuperworks.com/</t>
  </si>
  <si>
    <t xml:space="preserve">https://www.linkedin.com/in/manuelita-antonio-rangel-sosa-50613331</t>
  </si>
  <si>
    <t xml:space="preserve">https://www.linkedin.com/company/we-are-superworks</t>
  </si>
  <si>
    <t xml:space="preserve">Founder / Creative Director @ SuperWorks || Design Thinking, Brand Strategy, Product Design</t>
  </si>
  <si>
    <t xml:space="preserve">November 2015 - Present</t>
  </si>
  <si>
    <t xml:space="preserve">Founder/Creative Director fits ICP role; industry and location are exact; company size is one band smaller than ICP, lowering but not disqualifying.</t>
  </si>
  <si>
    <t xml:space="preserve">Hazel</t>
  </si>
  <si>
    <t xml:space="preserve">Imogen</t>
  </si>
  <si>
    <t xml:space="preserve">Series Brand Studio</t>
  </si>
  <si>
    <t xml:space="preserve">http://www.twoparts.studio</t>
  </si>
  <si>
    <t xml:space="preserve">https://www.linkedin.com/in/hazelimogen</t>
  </si>
  <si>
    <t xml:space="preserve">https://www.linkedin.com/company/seriesbrandstudio</t>
  </si>
  <si>
    <t xml:space="preserve">Founder | Creative Director | Big-time-thinker</t>
  </si>
  <si>
    <t xml:space="preserve">October 2024 - Present</t>
  </si>
  <si>
    <t xml:space="preserve">Founder &amp; Creative Director at a Marketing Services agency in the US aligns with the ICP.</t>
  </si>
  <si>
    <t xml:space="preserve">Daniel</t>
  </si>
  <si>
    <t xml:space="preserve">Souza</t>
  </si>
  <si>
    <t xml:space="preserve">Element5 Creative</t>
  </si>
  <si>
    <t xml:space="preserve">Salt Lake City Metropolitan Area</t>
  </si>
  <si>
    <t xml:space="preserve">https://www.linkedin.com/in/1danielsouza</t>
  </si>
  <si>
    <t xml:space="preserve">https://linkedin.com/company/116794216</t>
  </si>
  <si>
    <t xml:space="preserve">Founder &amp; Creative Director at Element5 Creative | I help small businesses get more customers with smart websites, AI tools, and marketing that actually works. Plain English. Real results.</t>
  </si>
  <si>
    <t xml:space="preserve">05/01/2026 - Present</t>
  </si>
  <si>
    <t xml:space="preserve">Role matches ICP; industry and location align; company size near ICP; strong fit.</t>
  </si>
  <si>
    <t xml:space="preserve">Imani</t>
  </si>
  <si>
    <t xml:space="preserve">Lee</t>
  </si>
  <si>
    <t xml:space="preserve">Live Stay Creative</t>
  </si>
  <si>
    <t xml:space="preserve">Tampa, Florida, United States</t>
  </si>
  <si>
    <t xml:space="preserve">https://www.imanilenz.com/</t>
  </si>
  <si>
    <t xml:space="preserve">https://www.linkedin.com/in/imanilenz</t>
  </si>
  <si>
    <t xml:space="preserve">https://www.linkedin.com/company/livestaycreative</t>
  </si>
  <si>
    <t xml:space="preserve">Creative Artist &amp; Founder (Video. Photo. Music)</t>
  </si>
  <si>
    <t xml:space="preserve">Founder &amp; Creative Director aligns with ICP titles; industry and location match; company size is one band below ICP.</t>
  </si>
  <si>
    <t xml:space="preserve">Rachel</t>
  </si>
  <si>
    <t xml:space="preserve">Holtin</t>
  </si>
  <si>
    <t xml:space="preserve">Austin Foodstagram</t>
  </si>
  <si>
    <t xml:space="preserve">https://www.linkedin.com/in/rachel-holtin-95b0004a</t>
  </si>
  <si>
    <t xml:space="preserve">https://www.linkedin.com/company/austin-foodstagram</t>
  </si>
  <si>
    <t xml:space="preserve">Founder, Creative Director at Austin Foodstagram</t>
  </si>
  <si>
    <t xml:space="preserve">May 2014 - Present</t>
  </si>
  <si>
    <t xml:space="preserve">Role matches ICP and location aligns; company size is slightly off but acceptable.</t>
  </si>
  <si>
    <t xml:space="preserve">John</t>
  </si>
  <si>
    <t xml:space="preserve">Oberbeck</t>
  </si>
  <si>
    <t xml:space="preserve">JEO Creative</t>
  </si>
  <si>
    <t xml:space="preserve">https://www.linkedin.com/in/john-eric-oberbeck-68475b2a</t>
  </si>
  <si>
    <t xml:space="preserve">https://www.linkedin.com/company/jeo-creative</t>
  </si>
  <si>
    <t xml:space="preserve">Founder &amp; Creative Director, JEO Creative</t>
  </si>
  <si>
    <t xml:space="preserve">April 2023 - Present</t>
  </si>
  <si>
    <t xml:space="preserve">Role, industry, company size, and location align with ICP requirements.</t>
  </si>
  <si>
    <t xml:space="preserve">Jen</t>
  </si>
  <si>
    <t xml:space="preserve">Houser</t>
  </si>
  <si>
    <t xml:space="preserve">Founder + President</t>
  </si>
  <si>
    <t xml:space="preserve">Creative Springs</t>
  </si>
  <si>
    <t xml:space="preserve">St Augustine, Florida, United States</t>
  </si>
  <si>
    <t xml:space="preserve">https://creativesprings.com</t>
  </si>
  <si>
    <t xml:space="preserve">https://www.linkedin.com/in/jen-h-houser</t>
  </si>
  <si>
    <t xml:space="preserve">https://www.linkedin.com/company/creativesprings</t>
  </si>
  <si>
    <t xml:space="preserve">Founder &amp; President of Creative Springs</t>
  </si>
  <si>
    <t xml:space="preserve">Role aligns with ICP Founder/President in a US Marketing Services firm.</t>
  </si>
  <si>
    <t xml:space="preserve">David</t>
  </si>
  <si>
    <t xml:space="preserve">Hacin</t>
  </si>
  <si>
    <t xml:space="preserve">President and Founder</t>
  </si>
  <si>
    <t xml:space="preserve">http://www.hacin.com</t>
  </si>
  <si>
    <t xml:space="preserve">https://www.linkedin.com/in/davidhacin</t>
  </si>
  <si>
    <t xml:space="preserve">https://www.linkedin.com/company/hacindesign</t>
  </si>
  <si>
    <t xml:space="preserve">President and Founder at Hacin | Architecture. Interiors. Design.</t>
  </si>
  <si>
    <t xml:space="preserve">1993 - Present</t>
  </si>
  <si>
    <t xml:space="preserve">Founder role aligns; industry/location match ICP; company size fits.</t>
  </si>
  <si>
    <t xml:space="preserve">Bear</t>
  </si>
  <si>
    <t xml:space="preserve">Newman</t>
  </si>
  <si>
    <t xml:space="preserve">Founder / CEO</t>
  </si>
  <si>
    <t xml:space="preserve">Bear Impact</t>
  </si>
  <si>
    <t xml:space="preserve">Boise Metropolitan Area</t>
  </si>
  <si>
    <t xml:space="preserve">https://www.bearfoxmarketing.com</t>
  </si>
  <si>
    <t xml:space="preserve">https://www.linkedin.com/in/bear-newman</t>
  </si>
  <si>
    <t xml:space="preserve">https://www.linkedin.com/company/bear-impact</t>
  </si>
  <si>
    <t xml:space="preserve">Search → Signed Cases | Company Growth Strategist | Founder &amp; CEO @ BEAR IMPACT</t>
  </si>
  <si>
    <t xml:space="preserve">Founder/CEO aligns with ICP roles; industry is Marketing Services in US; company size near ICP; location matches.</t>
  </si>
  <si>
    <t xml:space="preserve">Allan</t>
  </si>
  <si>
    <t xml:space="preserve">Ezial</t>
  </si>
  <si>
    <t xml:space="preserve">Mind Machine LLC</t>
  </si>
  <si>
    <t xml:space="preserve">http://allanezialcreative.com</t>
  </si>
  <si>
    <t xml:space="preserve">https://www.linkedin.com/in/allanezial</t>
  </si>
  <si>
    <t xml:space="preserve">https://www.linkedin.com/company/mindmachineco</t>
  </si>
  <si>
    <t xml:space="preserve">Creative Director | Brand Systems &amp; Visual Storytelling | Consumer, Healthcare, Lifestyle &amp; Wellness</t>
  </si>
  <si>
    <t xml:space="preserve">November 2019 - November 2025</t>
  </si>
  <si>
    <t xml:space="preserve">Role, industry, company size, and US location align with the ICP.</t>
  </si>
  <si>
    <t xml:space="preserve">Page</t>
  </si>
  <si>
    <t xml:space="preserve">Blackletter</t>
  </si>
  <si>
    <t xml:space="preserve">Columbus, Ohio Metropolitan Area, United States</t>
  </si>
  <si>
    <t xml:space="preserve">https://blkltr.com</t>
  </si>
  <si>
    <t xml:space="preserve">https://www.linkedin.com/in/brandon-page-542084b</t>
  </si>
  <si>
    <t xml:space="preserve">https://www.linkedin.com/company/blackletter/</t>
  </si>
  <si>
    <t xml:space="preserve">Creative Director, Brand Identity &amp; Communications</t>
  </si>
  <si>
    <t xml:space="preserve">2/6/2024 - now</t>
  </si>
  <si>
    <t xml:space="preserve">Contact matches ICP: senior Creative Director in Design Services, US.</t>
  </si>
  <si>
    <t xml:space="preserve">Andrew</t>
  </si>
  <si>
    <t xml:space="preserve">Harner</t>
  </si>
  <si>
    <t xml:space="preserve">Founder/Creative Director &amp; Designer</t>
  </si>
  <si>
    <t xml:space="preserve">Bermuda Design Studio</t>
  </si>
  <si>
    <t xml:space="preserve">Ojai, California, United States</t>
  </si>
  <si>
    <t xml:space="preserve">https://bermudadesignco.com</t>
  </si>
  <si>
    <t xml:space="preserve">https://www.linkedin.com/in/andrew-harner-b3378244</t>
  </si>
  <si>
    <t xml:space="preserve">https://www.linkedin.com/company/bermuda-design-studio/</t>
  </si>
  <si>
    <t xml:space="preserve">Founder, Bermuda Design Studio, Former Adobe &amp; Patagonia</t>
  </si>
  <si>
    <t xml:space="preserve">6/8/2017 - now</t>
  </si>
  <si>
    <t xml:space="preserve">Strong alignment on title, industry, size, and US location.</t>
  </si>
  <si>
    <t xml:space="preserve">Kenneth</t>
  </si>
  <si>
    <t xml:space="preserve">Young</t>
  </si>
  <si>
    <t xml:space="preserve">Now Studio</t>
  </si>
  <si>
    <t xml:space="preserve">https://www.linkedin.com/in/kenneth-young-58292bb</t>
  </si>
  <si>
    <t xml:space="preserve">https://www.linkedin.com/company/now-studio-sf</t>
  </si>
  <si>
    <t xml:space="preserve">Now Studio - Founder &amp; Creative Director</t>
  </si>
  <si>
    <t xml:space="preserve">March 2023 - Present</t>
  </si>
  <si>
    <t xml:space="preserve">Role aligns with ICP and location/industry match; company size is slightly smaller than ICP.</t>
  </si>
  <si>
    <t xml:space="preserve">Carver</t>
  </si>
  <si>
    <t xml:space="preserve">Executive Creative Director</t>
  </si>
  <si>
    <t xml:space="preserve">Watson Design Group, Inc.</t>
  </si>
  <si>
    <t xml:space="preserve">https://www.linkedin.com/redir/redirect?url=http://www.nathancarver.com&amp;urlhash=7rNC&amp;trk=public_profile_website</t>
  </si>
  <si>
    <t xml:space="preserve">https://www.linkedin.com/in/nathan-carver-86956852</t>
  </si>
  <si>
    <t xml:space="preserve">https://www.linkedin.com/company/watson-dg</t>
  </si>
  <si>
    <t xml:space="preserve">Executive Creative Director at Watson</t>
  </si>
  <si>
    <t xml:space="preserve">September 2023 - Present</t>
  </si>
  <si>
    <t xml:space="preserve">Executive Creative Director aligns with the ICP's Creative Director-style leadership in a US Design Services firm.</t>
  </si>
  <si>
    <t xml:space="preserve">Hud</t>
  </si>
  <si>
    <t xml:space="preserve">Oberly</t>
  </si>
  <si>
    <t xml:space="preserve">SMILE Indigenous Marketing</t>
  </si>
  <si>
    <t xml:space="preserve">Norman, Oklahoma, United States</t>
  </si>
  <si>
    <t xml:space="preserve">smileindigenous.com</t>
  </si>
  <si>
    <t xml:space="preserve">https://www.linkedin.com/in/hud-oberly</t>
  </si>
  <si>
    <t xml:space="preserve">https://www.linkedin.com/company/smileindigenous</t>
  </si>
  <si>
    <t xml:space="preserve">Founder &amp; Creative Director, SMILE Indigenous Marketing Agency || Keynote Speaker || Board Director</t>
  </si>
  <si>
    <t xml:space="preserve">Role maps to Founder/Creative Director; Industry aligns with ICP; Location matches US; Company size is smaller than ICP but within one band off.</t>
  </si>
  <si>
    <t xml:space="preserve">Achler</t>
  </si>
  <si>
    <t xml:space="preserve">Burnt Waffle Marketing, LLC</t>
  </si>
  <si>
    <t xml:space="preserve">https://www.linkedin.com/in/sachler</t>
  </si>
  <si>
    <t xml:space="preserve">https://www.linkedin.com/company/burnt-waffle-marketing</t>
  </si>
  <si>
    <t xml:space="preserve">Founder/CEO | Digital Marketing Expert</t>
  </si>
  <si>
    <t xml:space="preserve">March 2019 - Present</t>
  </si>
  <si>
    <t xml:space="preserve">Role aligns with ICP as Founder/CEO; industry is Marketing Services in US; company size 2-10; location matches United States.</t>
  </si>
  <si>
    <t xml:space="preserve">Perez</t>
  </si>
  <si>
    <t xml:space="preserve">Founder | CEO | Creative Director</t>
  </si>
  <si>
    <t xml:space="preserve">EZIO Creative</t>
  </si>
  <si>
    <t xml:space="preserve">https://www.linkedin.com/redir/redirect?url=https://www.eziocreative.com&amp;urlhash=lHis&amp;trk=public_profile_topcard-website</t>
  </si>
  <si>
    <t xml:space="preserve">https://www.linkedin.com/in/adavidperezr</t>
  </si>
  <si>
    <t xml:space="preserve">https://www.linkedin.com/company/eziocreative</t>
  </si>
  <si>
    <t xml:space="preserve">Creative Powerhouse — Branding, Websites, and Videos that help startups and enterprises stand out, move fast, and scale with impact.</t>
  </si>
  <si>
    <t xml:space="preserve">January 2020 - Present</t>
  </si>
  <si>
    <t xml:space="preserve">Role and industry align with ICP; location matches; company size slightly smaller.</t>
  </si>
  <si>
    <t xml:space="preserve">Emily</t>
  </si>
  <si>
    <t xml:space="preserve">Brimmer</t>
  </si>
  <si>
    <t xml:space="preserve">EKB Marketing</t>
  </si>
  <si>
    <t xml:space="preserve">https://ekbmarketing.com</t>
  </si>
  <si>
    <t xml:space="preserve">https://www.linkedin.com/in/emily-brimmer</t>
  </si>
  <si>
    <t xml:space="preserve">https://www.linkedin.com/company/ekb-marketing/</t>
  </si>
  <si>
    <t xml:space="preserve">Founder/CEO @ EKB Marketing</t>
  </si>
  <si>
    <t xml:space="preserve">1/9/2017 - now</t>
  </si>
  <si>
    <t xml:space="preserve">Role, industry, size, and location align with ICP and location is in US.</t>
  </si>
  <si>
    <t xml:space="preserve">Kimberly</t>
  </si>
  <si>
    <t xml:space="preserve">Timmons-Beutner</t>
  </si>
  <si>
    <t xml:space="preserve">Principal</t>
  </si>
  <si>
    <t xml:space="preserve">Kimberly Timmons Interiors - KTI</t>
  </si>
  <si>
    <t xml:space="preserve">http://www.ktinteriors.com</t>
  </si>
  <si>
    <t xml:space="preserve">https://www.linkedin.com/in/kimberly-timmons-beutner-a15a7429</t>
  </si>
  <si>
    <t xml:space="preserve">https://linkedin.com/company/1436227</t>
  </si>
  <si>
    <t xml:space="preserve">Principal &amp; Creative Director, Kimberly Timmons Interiors</t>
  </si>
  <si>
    <t xml:space="preserve">06/01/1997 - Present</t>
  </si>
  <si>
    <t xml:space="preserve">Title maps to Creative Director; Design Services in US aligns with ICP.</t>
  </si>
  <si>
    <t xml:space="preserve">Shannon</t>
  </si>
  <si>
    <t xml:space="preserve">McSpadden</t>
  </si>
  <si>
    <t xml:space="preserve">GhostRanch Communications</t>
  </si>
  <si>
    <t xml:space="preserve">https://www.linkedin.com/in/shannonmcspadden</t>
  </si>
  <si>
    <t xml:space="preserve">https://www.linkedin.com/company/ghostranch-communications</t>
  </si>
  <si>
    <t xml:space="preserve">Graphic Designer. Creative Strategist. Visionary.</t>
  </si>
  <si>
    <t xml:space="preserve">March 2025 - Present</t>
  </si>
  <si>
    <t xml:space="preserve">Role and company align with ICP as Creative Director in Design Services, US.</t>
  </si>
  <si>
    <t xml:space="preserve">Maginnis</t>
  </si>
  <si>
    <t xml:space="preserve">Co-Founder &amp; CEO</t>
  </si>
  <si>
    <t xml:space="preserve">Gigantic Playground</t>
  </si>
  <si>
    <t xml:space="preserve">https://www.linkedin.com/redir/redirect?url=www.giganticplayground.com&amp;urlhash=d668&amp;trk=public_profile_topcard-website</t>
  </si>
  <si>
    <t xml:space="preserve">https://www.linkedin.com/in/michaelmaginnis</t>
  </si>
  <si>
    <t xml:space="preserve">https://www.linkedin.com/company/gigantic-playground</t>
  </si>
  <si>
    <t xml:space="preserve">Co-Founder &amp; CEO: Gigantic Playground - A Creative Technology Agency</t>
  </si>
  <si>
    <t xml:space="preserve">Candidate aligns with Founder/CEO in Design Services within US.</t>
  </si>
  <si>
    <t xml:space="preserve">Priscilla</t>
  </si>
  <si>
    <t xml:space="preserve">Jimenez</t>
  </si>
  <si>
    <t xml:space="preserve">Push More Buttons</t>
  </si>
  <si>
    <t xml:space="preserve">pushmorebuttons.com</t>
  </si>
  <si>
    <t xml:space="preserve">https://www.linkedin.com/in/priscilla-jimenez-7a243385</t>
  </si>
  <si>
    <t xml:space="preserve">https://www.linkedin.com/company/push-more-buttons</t>
  </si>
  <si>
    <t xml:space="preserve">January 2013 - Present</t>
  </si>
  <si>
    <t xml:space="preserve">Role (Creative Director) and company location in the US align with the ICP; industry matches (Design Services); company size is within close range to ICP; all signals support fit.</t>
  </si>
  <si>
    <t xml:space="preserve">Loreal</t>
  </si>
  <si>
    <t xml:space="preserve">Sands</t>
  </si>
  <si>
    <t xml:space="preserve">Creative Director &amp; Founder</t>
  </si>
  <si>
    <t xml:space="preserve">Quill &amp; Canvas</t>
  </si>
  <si>
    <t xml:space="preserve">Chesterfield, Virginia, United States</t>
  </si>
  <si>
    <t xml:space="preserve">https://www.linkedin.com/in/lorealsands</t>
  </si>
  <si>
    <t xml:space="preserve">https://www.linkedin.com/company/quillandcanvas</t>
  </si>
  <si>
    <t xml:space="preserve">Dynamic UX Designer | Published Author &amp; Creative Ghostwriter | Film &amp; TV | Neurodiversity | Mental Health Advocate</t>
  </si>
  <si>
    <t xml:space="preserve">October 2023 - Present</t>
  </si>
  <si>
    <t xml:space="preserve">Role maps to ICP; location and industry align; company size is outside ICP.</t>
  </si>
  <si>
    <t xml:space="preserve">2026-09-07 09:22</t>
  </si>
  <si>
    <t xml:space="preserve">Maddy</t>
  </si>
  <si>
    <t xml:space="preserve">Khentigan</t>
  </si>
  <si>
    <t xml:space="preserve">The Red Thread Creative Studio</t>
  </si>
  <si>
    <t xml:space="preserve">https://theredthread.shop/the-creative-studio</t>
  </si>
  <si>
    <t xml:space="preserve">https://www.linkedin.com/in/maddy-khentigan</t>
  </si>
  <si>
    <t xml:space="preserve">https://www.linkedin.com/company/the-red-thread-creative-studio</t>
  </si>
  <si>
    <t xml:space="preserve">Growth Strategy | Brand &amp; Business Operations Building enduring brands where strategy and storytelling meet.</t>
  </si>
  <si>
    <t xml:space="preserve">November 2025 - Present</t>
  </si>
  <si>
    <t xml:space="preserve">Founder/Creative Director in US Marketing Services with 2-10 employees aligns with ICP</t>
  </si>
  <si>
    <t xml:space="preserve">Nicole</t>
  </si>
  <si>
    <t xml:space="preserve">Poppell</t>
  </si>
  <si>
    <t xml:space="preserve">Mural Mates</t>
  </si>
  <si>
    <t xml:space="preserve">Greater Phoenix Area</t>
  </si>
  <si>
    <t xml:space="preserve">http://www.nnuzzo.com</t>
  </si>
  <si>
    <t xml:space="preserve">https://www.linkedin.com/in/nicolepannuzzo</t>
  </si>
  <si>
    <t xml:space="preserve">https://www.linkedin.com/company/mural-mates</t>
  </si>
  <si>
    <t xml:space="preserve">Founder of Mural Mates - Murals, Art Installations, Community</t>
  </si>
  <si>
    <t xml:space="preserve">Founder's role aligns with ICP founder/creative leader in US design services.</t>
  </si>
  <si>
    <t xml:space="preserve">Victoria</t>
  </si>
  <si>
    <t xml:space="preserve">Williams</t>
  </si>
  <si>
    <t xml:space="preserve">Spring &amp; Pine Studio</t>
  </si>
  <si>
    <t xml:space="preserve">https://www.linkedin.com/in/victoriarichardsonprofile</t>
  </si>
  <si>
    <t xml:space="preserve">https://www.linkedin.com/company/spring-pine-studio</t>
  </si>
  <si>
    <t xml:space="preserve">Brand Builder &amp; Creative Lead | Founder, Spring &amp; Pine Studio</t>
  </si>
  <si>
    <t xml:space="preserve">July 2024 - Present</t>
  </si>
  <si>
    <t xml:space="preserve">Founder/Creative Director role aligns with ICP; Marketing Services industry matches; US location and near ICP company size.</t>
  </si>
  <si>
    <t xml:space="preserve">Brian</t>
  </si>
  <si>
    <t xml:space="preserve">Higgins</t>
  </si>
  <si>
    <t xml:space="preserve">Flavor Design</t>
  </si>
  <si>
    <t xml:space="preserve">https://www.linkedin.com/in/brian-higgins-03a2154</t>
  </si>
  <si>
    <t xml:space="preserve">https://www.linkedin.com/company/flavor</t>
  </si>
  <si>
    <t xml:space="preserve">Creative Director at Flavor</t>
  </si>
  <si>
    <t xml:space="preserve">August 2012 - Present</t>
  </si>
  <si>
    <t xml:space="preserve">Role and ICP criteria align; location, industry, and company size match exactly.</t>
  </si>
  <si>
    <t xml:space="preserve">Zak</t>
  </si>
  <si>
    <t xml:space="preserve">Klauck</t>
  </si>
  <si>
    <t xml:space="preserve">Creative Director and Founder</t>
  </si>
  <si>
    <t xml:space="preserve">A--Z Studio Inc.</t>
  </si>
  <si>
    <t xml:space="preserve">zak.llc</t>
  </si>
  <si>
    <t xml:space="preserve">https://www.linkedin.com/in/zak-klauck-2161b417a</t>
  </si>
  <si>
    <t xml:space="preserve">https://www.linkedin.com/company/a-z-studio-inc</t>
  </si>
  <si>
    <t xml:space="preserve">Founder &amp; Creative Director at A--Z Studio</t>
  </si>
  <si>
    <t xml:space="preserve">March 2021 - Present</t>
  </si>
  <si>
    <t xml:space="preserve">Role maps to Founder; industry aligns with Design Services; US location; small discrepancy in size.</t>
  </si>
  <si>
    <t xml:space="preserve">Loar</t>
  </si>
  <si>
    <t xml:space="preserve">CEO / Founder</t>
  </si>
  <si>
    <t xml:space="preserve">wrapmate</t>
  </si>
  <si>
    <t xml:space="preserve">wrapmate.com</t>
  </si>
  <si>
    <t xml:space="preserve">https://www.linkedin.com/in/chris-loar-99b05a26</t>
  </si>
  <si>
    <t xml:space="preserve">https://www.linkedin.com/company/wrapmate</t>
  </si>
  <si>
    <t xml:space="preserve">CEO / Founder at Wrapmate</t>
  </si>
  <si>
    <t xml:space="preserve">Role and company size align with ICP; location and industry fit the target.</t>
  </si>
  <si>
    <t xml:space="preserve">Savannah</t>
  </si>
  <si>
    <t xml:space="preserve">West</t>
  </si>
  <si>
    <t xml:space="preserve">Founder &amp; Head of Creative Strategy</t>
  </si>
  <si>
    <t xml:space="preserve">Studio 48 Collective</t>
  </si>
  <si>
    <t xml:space="preserve">https://www.instagram.com/thesunherself/</t>
  </si>
  <si>
    <t xml:space="preserve">https://www.linkedin.com/in/savannahwest</t>
  </si>
  <si>
    <t xml:space="preserve">https://linkedin.com/company/112942566</t>
  </si>
  <si>
    <t xml:space="preserve">Editor &amp; Creative Strategist | Brand Storytelling, Campaigns &amp; Operations | $20M+ in Branded Work | Ex: Forbes, Oscars &amp; Sundance</t>
  </si>
  <si>
    <t xml:space="preserve">10/01/2019 - Present</t>
  </si>
  <si>
    <t xml:space="preserve">Founder role aligns with ICP; industry and location match; company size slightly below ICP but plausible.</t>
  </si>
  <si>
    <t xml:space="preserve">Sami</t>
  </si>
  <si>
    <t xml:space="preserve">Hewitt</t>
  </si>
  <si>
    <t xml:space="preserve">Associate Creative Director</t>
  </si>
  <si>
    <t xml:space="preserve">Dogcatcher Creative</t>
  </si>
  <si>
    <t xml:space="preserve">Portland, Oregon, United States</t>
  </si>
  <si>
    <t xml:space="preserve">http://bonescreative.com</t>
  </si>
  <si>
    <t xml:space="preserve">https://www.linkedin.com/in/sami-bones-hewitt-a628a530</t>
  </si>
  <si>
    <t xml:space="preserve">https://www.linkedin.com/company/dogcatcher-creative</t>
  </si>
  <si>
    <t xml:space="preserve">Brand &amp; Environmental Creative</t>
  </si>
  <si>
    <t xml:space="preserve">September 2025 - Present</t>
  </si>
  <si>
    <t xml:space="preserve">Role aligns with ICP; location, industry, and size match well.</t>
  </si>
  <si>
    <t xml:space="preserve">Ortiz-Montero</t>
  </si>
  <si>
    <t xml:space="preserve">Waterfront Branded Solutions</t>
  </si>
  <si>
    <t xml:space="preserve">https://www.linkedin.com/in/lauraqortiz</t>
  </si>
  <si>
    <t xml:space="preserve">https://www.linkedin.com/company/waterfrontproforma</t>
  </si>
  <si>
    <t xml:space="preserve">Director of Creative Services</t>
  </si>
  <si>
    <t xml:space="preserve">July 2011 - Present</t>
  </si>
  <si>
    <t xml:space="preserve">Role aligns with ICP titles; strong fit in Marketing Services in the US.</t>
  </si>
  <si>
    <t xml:space="preserve">Sebastian</t>
  </si>
  <si>
    <t xml:space="preserve">Calvo</t>
  </si>
  <si>
    <t xml:space="preserve">Studio Newfound</t>
  </si>
  <si>
    <t xml:space="preserve">https://www.studionewfound.com</t>
  </si>
  <si>
    <t xml:space="preserve">https://www.linkedin.com/in/sebastian-calvo-4a0032158</t>
  </si>
  <si>
    <t xml:space="preserve">https://www.linkedin.com/company/studio-newfound</t>
  </si>
  <si>
    <t xml:space="preserve">Founder and Creative Director at Newfound</t>
  </si>
  <si>
    <t xml:space="preserve">May 2023 - Present</t>
  </si>
  <si>
    <t xml:space="preserve">Role, industry, and location align well with the ICP; company size is slightly outside the preferred band but still close.</t>
  </si>
  <si>
    <t xml:space="preserve">Max</t>
  </si>
  <si>
    <t xml:space="preserve">Cyril</t>
  </si>
  <si>
    <t xml:space="preserve">Zion Webmedia</t>
  </si>
  <si>
    <t xml:space="preserve">https://zionwebmedia.com/</t>
  </si>
  <si>
    <t xml:space="preserve">https://www.linkedin.com/in/maxcyril</t>
  </si>
  <si>
    <t xml:space="preserve">https://www.linkedin.com/company/zionwebmedia</t>
  </si>
  <si>
    <t xml:space="preserve">Founder at Zion Webmedia | Helping Organizations Build Trust, Generate Leads &amp; Grow Through Better Websites, SEO &amp; Digital Marketing</t>
  </si>
  <si>
    <t xml:space="preserve">November 2024 - Present</t>
  </si>
  <si>
    <t xml:space="preserve">Role aligns with ICP as Founder/Creative Director; location and industry match; company size is one band off.</t>
  </si>
  <si>
    <t xml:space="preserve">Ian</t>
  </si>
  <si>
    <t xml:space="preserve">President/Founder</t>
  </si>
  <si>
    <t xml:space="preserve">Walnut Creek, California, United States</t>
  </si>
  <si>
    <t xml:space="preserve">https://mclean-design.com</t>
  </si>
  <si>
    <t xml:space="preserve">https://www.linkedin.com/in/ian-mclean-5450054</t>
  </si>
  <si>
    <t xml:space="preserve">https://www.linkedin.com/company/mclean-design/</t>
  </si>
  <si>
    <t xml:space="preserve">Founder, Brand Warrior, Creative Director</t>
  </si>
  <si>
    <t xml:space="preserve">6/2/1991 - now</t>
  </si>
  <si>
    <t xml:space="preserve">Role maps to Founder/CEO; location and industry align with ICP.</t>
  </si>
  <si>
    <t xml:space="preserve">lisa</t>
  </si>
  <si>
    <t xml:space="preserve">schrotenboer </t>
  </si>
  <si>
    <t xml:space="preserve">Company Creative Studio</t>
  </si>
  <si>
    <t xml:space="preserve">Rockford, Michigan, United States</t>
  </si>
  <si>
    <t xml:space="preserve">https://companycreativestudio.com</t>
  </si>
  <si>
    <t xml:space="preserve">https://www.linkedin.com/in/lisa-schrotenboer-0005b05</t>
  </si>
  <si>
    <t xml:space="preserve">https://www.linkedin.com/company/company-creative-studios/</t>
  </si>
  <si>
    <t xml:space="preserve">Creative Director @ Company Creative Studios | Marketing Communications Expert</t>
  </si>
  <si>
    <t xml:space="preserve">6/11/2023 - now</t>
  </si>
  <si>
    <t xml:space="preserve">Role aligns with ICP; location, industry, and company size match the ICP.</t>
  </si>
  <si>
    <t xml:space="preserve">Elgan</t>
  </si>
  <si>
    <t xml:space="preserve">Lance</t>
  </si>
  <si>
    <t xml:space="preserve">Northwest &amp; Gray</t>
  </si>
  <si>
    <t xml:space="preserve">Burlington, Washington, United States</t>
  </si>
  <si>
    <t xml:space="preserve">http://www.elganwadelance.com</t>
  </si>
  <si>
    <t xml:space="preserve">https://www.linkedin.com/in/wadelance</t>
  </si>
  <si>
    <t xml:space="preserve">https://www.linkedin.com/company/northwest-&amp;-gray</t>
  </si>
  <si>
    <t xml:space="preserve">Creative Director | Art Director | Design Leadership (Previously Peloton)</t>
  </si>
  <si>
    <t xml:space="preserve">January 2016 - Present</t>
  </si>
  <si>
    <t xml:space="preserve">Role aligns with ICP; strong design services industry and US location.</t>
  </si>
  <si>
    <t xml:space="preserve">Lauren</t>
  </si>
  <si>
    <t xml:space="preserve">Collander</t>
  </si>
  <si>
    <t xml:space="preserve">Lauren Collander Interiors</t>
  </si>
  <si>
    <t xml:space="preserve">Naperville, Illinois, United States</t>
  </si>
  <si>
    <t xml:space="preserve">https://laurencollanderinteriors.com/</t>
  </si>
  <si>
    <t xml:space="preserve">https://www.linkedin.com/in/lauren-collander-35565224</t>
  </si>
  <si>
    <t xml:space="preserve">https://www.linkedin.com/company/lauren-collander-interiors</t>
  </si>
  <si>
    <t xml:space="preserve">Founder and Creative Director at Lauren Collander Interiors</t>
  </si>
  <si>
    <t xml:space="preserve">March 2015 - Present</t>
  </si>
  <si>
    <t xml:space="preserve">Founding leader in a design services firm in the US with 11-50 staff aligns with ICP criteria.</t>
  </si>
  <si>
    <t xml:space="preserve">Réal</t>
  </si>
  <si>
    <t xml:space="preserve">WITH</t>
  </si>
  <si>
    <t xml:space="preserve">https://realthompson.com</t>
  </si>
  <si>
    <t xml:space="preserve">https://www.linkedin.com/in/réal-thompson-5747a446</t>
  </si>
  <si>
    <t xml:space="preserve">https://www.linkedin.com/company/withagency</t>
  </si>
  <si>
    <t xml:space="preserve">Creative Director at WITH</t>
  </si>
  <si>
    <t xml:space="preserve">Role matches ICP Creative Director; location and size align with US-based 11-50 employee marketing services firm.</t>
  </si>
  <si>
    <t xml:space="preserve">D</t>
  </si>
  <si>
    <t xml:space="preserve">Creative Director and Co-founder</t>
  </si>
  <si>
    <t xml:space="preserve">Skydea K.K.</t>
  </si>
  <si>
    <t xml:space="preserve">San Jose, California, United States</t>
  </si>
  <si>
    <t xml:space="preserve">https://skydea.co</t>
  </si>
  <si>
    <t xml:space="preserve">https://www.linkedin.com/in/mikedoan</t>
  </si>
  <si>
    <t xml:space="preserve">https://www.linkedin.com/company/skydeakk</t>
  </si>
  <si>
    <t xml:space="preserve">Creative Director and Co-founder at Skydea K.K.</t>
  </si>
  <si>
    <t xml:space="preserve">February 2019 - Present</t>
  </si>
  <si>
    <t xml:space="preserve">Role aligns with ICP, industry is Design Services in the US, and company size/location match.</t>
  </si>
  <si>
    <t xml:space="preserve">Harrison</t>
  </si>
  <si>
    <t xml:space="preserve">Weathers</t>
  </si>
  <si>
    <t xml:space="preserve">Co-Founder</t>
  </si>
  <si>
    <t xml:space="preserve">Minno</t>
  </si>
  <si>
    <t xml:space="preserve">Fort Collins, Colorado, United States</t>
  </si>
  <si>
    <t xml:space="preserve">https://madebyminno.com</t>
  </si>
  <si>
    <t xml:space="preserve">https://www.linkedin.com/in/harrison-weathers-365970187</t>
  </si>
  <si>
    <t xml:space="preserve">https://www.linkedin.com/company/madebyminno/</t>
  </si>
  <si>
    <t xml:space="preserve">Co-Founder &amp; Creative Director at Minno</t>
  </si>
  <si>
    <t xml:space="preserve">1/2/2026 - now</t>
  </si>
  <si>
    <t xml:space="preserve">Role aligns with Founder, company size is within ICP bands, and location/industry strongly match.</t>
  </si>
  <si>
    <t xml:space="preserve">J.D.</t>
  </si>
  <si>
    <t xml:space="preserve">Hendley</t>
  </si>
  <si>
    <t xml:space="preserve">The One Creative Agency</t>
  </si>
  <si>
    <t xml:space="preserve">Orange County, California, United States</t>
  </si>
  <si>
    <t xml:space="preserve">https://www.linkedin.com/in/jdhendley</t>
  </si>
  <si>
    <t xml:space="preserve">https://www.linkedin.com/company/the-one-creative-agency</t>
  </si>
  <si>
    <t xml:space="preserve">Founder &amp; CEO at The One Creative Agency</t>
  </si>
  <si>
    <t xml:space="preserve">Founder &amp; CEO at a US Design Services agency matches ICP.</t>
  </si>
  <si>
    <t xml:space="preserve">Margaux</t>
  </si>
  <si>
    <t xml:space="preserve">Forcione</t>
  </si>
  <si>
    <t xml:space="preserve">Amrak Solutions</t>
  </si>
  <si>
    <t xml:space="preserve">https://www.linkedin.com/in/margaux-varena-forcione-694b67130</t>
  </si>
  <si>
    <t xml:space="preserve">https://www.linkedin.com/company/amrak-solutions</t>
  </si>
  <si>
    <t xml:space="preserve">Role and company profile align with ICP criteria.</t>
  </si>
  <si>
    <t xml:space="preserve">Cecilia</t>
  </si>
  <si>
    <t xml:space="preserve">Waidatt</t>
  </si>
  <si>
    <t xml:space="preserve">Watt Studios</t>
  </si>
  <si>
    <t xml:space="preserve">https://www.behance.net/cw18</t>
  </si>
  <si>
    <t xml:space="preserve">https://www.linkedin.com/in/ceciliawaidatt</t>
  </si>
  <si>
    <t xml:space="preserve">https://www.linkedin.com/company/watt-studios</t>
  </si>
  <si>
    <t xml:space="preserve">July 2010 - Present</t>
  </si>
  <si>
    <t xml:space="preserve">Role aligns with ICP; industry and location match; company size slightly off.</t>
  </si>
  <si>
    <t xml:space="preserve">Valeria</t>
  </si>
  <si>
    <t xml:space="preserve">Delgado</t>
  </si>
  <si>
    <t xml:space="preserve">Co-Founder | Creative Director</t>
  </si>
  <si>
    <t xml:space="preserve">The Drøm</t>
  </si>
  <si>
    <t xml:space="preserve">www.valeriadelgado.com</t>
  </si>
  <si>
    <t xml:space="preserve">https://www.linkedin.com/in/valeria-delgado-ortega</t>
  </si>
  <si>
    <t xml:space="preserve">https://www.linkedin.com/company/thedrom</t>
  </si>
  <si>
    <t xml:space="preserve">Co-Founder &amp; Creative Director at The Drøm</t>
  </si>
  <si>
    <t xml:space="preserve">May 2020 - Present</t>
  </si>
  <si>
    <t xml:space="preserve">Founder/Creative Director role in US marketing services aligns with ICP.</t>
  </si>
  <si>
    <t xml:space="preserve">Allen</t>
  </si>
  <si>
    <t xml:space="preserve">Founder &amp; Principal Creative Director</t>
  </si>
  <si>
    <t xml:space="preserve">Polestar Graphics LLC</t>
  </si>
  <si>
    <t xml:space="preserve">Mesa, Arizona, United States</t>
  </si>
  <si>
    <t xml:space="preserve">http://www.polestargraphics.com</t>
  </si>
  <si>
    <t xml:space="preserve">https://www.linkedin.com/in/polestargraphics</t>
  </si>
  <si>
    <t xml:space="preserve">https://www.linkedin.com/company/polestargraphics</t>
  </si>
  <si>
    <t xml:space="preserve">Creative Director / Sr. Art Director | Award-Winning Brand, Video &amp; Campaign Design Leader</t>
  </si>
  <si>
    <t xml:space="preserve">January 2009 - Present</t>
  </si>
  <si>
    <t xml:space="preserve">Founder/Creative Director role aligns; industry matches; location fits; size close to ICP.</t>
  </si>
  <si>
    <t xml:space="preserve">Nasrin</t>
  </si>
  <si>
    <t xml:space="preserve">Iravani</t>
  </si>
  <si>
    <t xml:space="preserve">TXARTECH</t>
  </si>
  <si>
    <t xml:space="preserve">https://www.txartech.com/</t>
  </si>
  <si>
    <t xml:space="preserve">https://www.linkedin.com/in/nasrin-iravani</t>
  </si>
  <si>
    <t xml:space="preserve">https://www.linkedin.com/company/txartech</t>
  </si>
  <si>
    <t xml:space="preserve">Founder &amp; Creative Director at TXARTECH | AI • Art • Cultural Heritage • Digital Fabrication | Creative Innovation &amp;</t>
  </si>
  <si>
    <t xml:space="preserve">Role aligns with ICP as Founder/Creative Director in US design services.</t>
  </si>
  <si>
    <t xml:space="preserve">Alice</t>
  </si>
  <si>
    <t xml:space="preserve">Galano</t>
  </si>
  <si>
    <t xml:space="preserve">AgePop</t>
  </si>
  <si>
    <t xml:space="preserve">alicegalanodesign.com</t>
  </si>
  <si>
    <t xml:space="preserve">https://www.linkedin.com/in/alicegalano</t>
  </si>
  <si>
    <t xml:space="preserve">https://www.linkedin.com/company/age-pop</t>
  </si>
  <si>
    <t xml:space="preserve">Candidate aligns with ICP role, industry, location, and company size.</t>
  </si>
  <si>
    <t xml:space="preserve">Ashton</t>
  </si>
  <si>
    <t xml:space="preserve">Neckar</t>
  </si>
  <si>
    <t xml:space="preserve">Teel</t>
  </si>
  <si>
    <t xml:space="preserve">https://www.teelstudio.com</t>
  </si>
  <si>
    <t xml:space="preserve">https://www.linkedin.com/in/ashton-neckar</t>
  </si>
  <si>
    <t xml:space="preserve">https://www.linkedin.com/company/teelgroup</t>
  </si>
  <si>
    <t xml:space="preserve">Founder &amp; Creative Director at Teel</t>
  </si>
  <si>
    <t xml:space="preserve">September 2018 - Present</t>
  </si>
  <si>
    <t xml:space="preserve">Role aligns with ICP; industry and location match US design services; company size is close to ICP range.</t>
  </si>
  <si>
    <t xml:space="preserve">Tyler</t>
  </si>
  <si>
    <t xml:space="preserve">Vandesande</t>
  </si>
  <si>
    <t xml:space="preserve">CEO &amp; Creative Director</t>
  </si>
  <si>
    <t xml:space="preserve">Faction Creative</t>
  </si>
  <si>
    <t xml:space="preserve">Carrollton, Texas, United States</t>
  </si>
  <si>
    <t xml:space="preserve">https://www.linkedin.com/redir/redirect?url=http://www.tythemaker.com&amp;urlhash=J-97&amp;trk=public_profile_website</t>
  </si>
  <si>
    <t xml:space="preserve">https://www.linkedin.com/in/tylervandesande</t>
  </si>
  <si>
    <t xml:space="preserve">https://www.linkedin.com/company/factioncreative</t>
  </si>
  <si>
    <t xml:space="preserve">Founder/CEO/Creative Director @ Faction Creative, LLC</t>
  </si>
  <si>
    <t xml:space="preserve">Sylvan</t>
  </si>
  <si>
    <t xml:space="preserve">Juarez</t>
  </si>
  <si>
    <t xml:space="preserve">Cedar Street Creative</t>
  </si>
  <si>
    <t xml:space="preserve">http://issuu.com/srj11/docs/portfoliohq</t>
  </si>
  <si>
    <t xml:space="preserve">https://www.linkedin.com/in/sylvan-juarez</t>
  </si>
  <si>
    <t xml:space="preserve">https://linkedin.com/company/14061473</t>
  </si>
  <si>
    <t xml:space="preserve">Founder &amp; Creative Director at Cedar Street Creative</t>
  </si>
  <si>
    <t xml:space="preserve">01/01/2019 - Present</t>
  </si>
  <si>
    <t xml:space="preserve">Strong alignment: Founder/Creative Director in US design services.</t>
  </si>
  <si>
    <t xml:space="preserve">Natalie</t>
  </si>
  <si>
    <t xml:space="preserve">Galvez</t>
  </si>
  <si>
    <t xml:space="preserve">NatGal Creative</t>
  </si>
  <si>
    <t xml:space="preserve">Burbank, California, United States</t>
  </si>
  <si>
    <t xml:space="preserve">https://l.instagram.com/?u=https://bit.ly/NatGalCreative_Portfolio&amp;e=AT1qZgqGG4SfDGsdVjm4mdoDIN1ziIDuwWlJQCPkRD0xDaAjnKIQgTs-AmUX2byO_btrN_i8pRBk42U2NswfzIQg5Qu6TBer9J0cjQ</t>
  </si>
  <si>
    <t xml:space="preserve">https://www.linkedin.com/in/natgal</t>
  </si>
  <si>
    <t xml:space="preserve">https://linkedin.com/company/108452675</t>
  </si>
  <si>
    <t xml:space="preserve">Founder | Brand Marketing &amp; Creative Director at NatGal Creative</t>
  </si>
  <si>
    <t xml:space="preserve">01/01/2023 - Present</t>
  </si>
  <si>
    <t xml:space="preserve">Founder role aligns with ICP; located in US; industry Marketing Services; company size slightly outside ICP band but close.</t>
  </si>
  <si>
    <t xml:space="preserve">Katelyn</t>
  </si>
  <si>
    <t xml:space="preserve">Gambler</t>
  </si>
  <si>
    <t xml:space="preserve">Katelyn Gambler</t>
  </si>
  <si>
    <t xml:space="preserve">Bellport, New York, United States</t>
  </si>
  <si>
    <t xml:space="preserve">https://www.linkedin.com/redir/redirect?url=https://katelyngambler.com&amp;urlhash=1CAu&amp;trk=public_profile_website</t>
  </si>
  <si>
    <t xml:space="preserve">https://www.linkedin.com/in/katelyngambler</t>
  </si>
  <si>
    <t xml:space="preserve">https://www.linkedin.com/company/katelyn-gambler</t>
  </si>
  <si>
    <t xml:space="preserve">August 2015 - Present</t>
  </si>
  <si>
    <t xml:space="preserve">Founder role maps to ICP; industry and location match; company size is far from ICP.</t>
  </si>
  <si>
    <t xml:space="preserve">Alex</t>
  </si>
  <si>
    <t xml:space="preserve">Ramírez</t>
  </si>
  <si>
    <t xml:space="preserve">Founder - Head of Creative Services</t>
  </si>
  <si>
    <t xml:space="preserve">You Know Who!</t>
  </si>
  <si>
    <t xml:space="preserve">https://www.linkedin.com/in/alexykw</t>
  </si>
  <si>
    <t xml:space="preserve">https://www.linkedin.com/company/ykw</t>
  </si>
  <si>
    <t xml:space="preserve">Founder | Head of Creative</t>
  </si>
  <si>
    <t xml:space="preserve">Role and company align with ICP; location, industry, and size match US marketing services.</t>
  </si>
  <si>
    <t xml:space="preserve">Christine</t>
  </si>
  <si>
    <t xml:space="preserve">Wisnieski</t>
  </si>
  <si>
    <t xml:space="preserve">Office of Opal</t>
  </si>
  <si>
    <t xml:space="preserve">Greater Cleveland, United States</t>
  </si>
  <si>
    <t xml:space="preserve">https://officeofopal.com</t>
  </si>
  <si>
    <t xml:space="preserve">https://www.linkedin.com/in/christine-wisnieski-3646909</t>
  </si>
  <si>
    <t xml:space="preserve">https://www.linkedin.com/company/officeofopal/</t>
  </si>
  <si>
    <t xml:space="preserve">1/4/2011 - now</t>
  </si>
  <si>
    <t xml:space="preserve">Founder/Creative Director in US design services aligns strongly with the ICP.</t>
  </si>
  <si>
    <t xml:space="preserve">Craig</t>
  </si>
  <si>
    <t xml:space="preserve">Takahata</t>
  </si>
  <si>
    <t xml:space="preserve">ZOO design group</t>
  </si>
  <si>
    <t xml:space="preserve">Honolulu, Hawaii, United States</t>
  </si>
  <si>
    <t xml:space="preserve">zoodg.com</t>
  </si>
  <si>
    <t xml:space="preserve">https://www.linkedin.com/in/craig-takahata-b0885650</t>
  </si>
  <si>
    <t xml:space="preserve">https://www.linkedin.com/company/zoo-design-group</t>
  </si>
  <si>
    <t xml:space="preserve">Founder+Creative Director at ZOO design group</t>
  </si>
  <si>
    <t xml:space="preserve">May 2018 - Present</t>
  </si>
  <si>
    <t xml:space="preserve">Founder/Creative Director in Design Services, US-based with 11-50 employees aligns with ICP.</t>
  </si>
  <si>
    <t xml:space="preserve">Tim</t>
  </si>
  <si>
    <t xml:space="preserve">Gatto</t>
  </si>
  <si>
    <t xml:space="preserve">Partner / Creative Director</t>
  </si>
  <si>
    <t xml:space="preserve">Gatto Rivera</t>
  </si>
  <si>
    <t xml:space="preserve">Napa, California, United States</t>
  </si>
  <si>
    <t xml:space="preserve">http://www.gattorivera.com</t>
  </si>
  <si>
    <t xml:space="preserve">https://www.linkedin.com/in/timgatto/</t>
  </si>
  <si>
    <t xml:space="preserve">https://www.linkedin.com/company/gattorivera</t>
  </si>
  <si>
    <t xml:space="preserve">Gatto Rivera Branding</t>
  </si>
  <si>
    <t xml:space="preserve">March 2016 - Present</t>
  </si>
  <si>
    <t xml:space="preserve">SEARCH_KEYWORD</t>
  </si>
  <si>
    <t xml:space="preserve">Just engaged with a &lt;a href='https://www.linkedin.com/feed/update/urn:li:activity:7492550324314853376/' target='_blank'&gt;LinkedIn post&lt;/a&gt;</t>
  </si>
  <si>
    <t xml:space="preserve">"creative bandwidth"</t>
  </si>
  <si>
    <t xml:space="preserve">Role aligns with ICP and location is in the US; industry matches Design Services; company size is slightly smaller but near.</t>
  </si>
  <si>
    <t xml:space="preserve">2026-09-07 03:15</t>
  </si>
  <si>
    <t xml:space="preserve">Leigha</t>
  </si>
  <si>
    <t xml:space="preserve">Dennis</t>
  </si>
  <si>
    <t xml:space="preserve">2x4</t>
  </si>
  <si>
    <t xml:space="preserve">http://www.leigha.tv/</t>
  </si>
  <si>
    <t xml:space="preserve">https://www.linkedin.com/in/leigha-dennis-15b5555a/</t>
  </si>
  <si>
    <t xml:space="preserve">https://www.linkedin.com/company/2x4</t>
  </si>
  <si>
    <t xml:space="preserve">Creative Director at 2x4</t>
  </si>
  <si>
    <t xml:space="preserve">July 2026 - Present</t>
  </si>
  <si>
    <t xml:space="preserve">Just engaged with a &lt;a href='https://www.linkedin.com/feed/update/urn:li:activity:7500174238398599168/' target='_blank'&gt;LinkedIn post&lt;/a&gt;</t>
  </si>
  <si>
    <t xml:space="preserve">"hired a designer"</t>
  </si>
  <si>
    <t xml:space="preserve">Creative Director at a 11-50 employee Design Services firm in the US.</t>
  </si>
  <si>
    <t xml:space="preserve">2026-09-06 21:06</t>
  </si>
  <si>
    <t xml:space="preserve">Nina</t>
  </si>
  <si>
    <t xml:space="preserve">Baker</t>
  </si>
  <si>
    <t xml:space="preserve">3 Aspens Media</t>
  </si>
  <si>
    <t xml:space="preserve">Marketing &amp; Advertising</t>
  </si>
  <si>
    <t xml:space="preserve">https://3aspensmedia.com</t>
  </si>
  <si>
    <t xml:space="preserve">https://www.linkedin.com/in/nina-baker-768477b</t>
  </si>
  <si>
    <t xml:space="preserve">https://www.linkedin.com/company/3-aspens-media/</t>
  </si>
  <si>
    <t xml:space="preserve">Retired Client Success Manager </t>
  </si>
  <si>
    <t xml:space="preserve">5/9/2020 - 2/8/2025</t>
  </si>
  <si>
    <t xml:space="preserve">LOOKALIKE</t>
  </si>
  <si>
    <t xml:space="preserve">Lookalike match: Similar to your ideal lead</t>
  </si>
  <si>
    <t xml:space="preserve">2026-09-06 15:32</t>
  </si>
  <si>
    <t xml:space="preserve">Anna</t>
  </si>
  <si>
    <t xml:space="preserve">Bellury</t>
  </si>
  <si>
    <t xml:space="preserve">NeonPixel</t>
  </si>
  <si>
    <t xml:space="preserve">https://neonpixel.co</t>
  </si>
  <si>
    <t xml:space="preserve">https://www.linkedin.com/in/anna-bellury</t>
  </si>
  <si>
    <t xml:space="preserve">https://www.linkedin.com/company/neonpixel/</t>
  </si>
  <si>
    <t xml:space="preserve">Client Success Manager with NeonPixel</t>
  </si>
  <si>
    <t xml:space="preserve">1/8/2024 - now</t>
  </si>
  <si>
    <t xml:space="preserve">Bailey</t>
  </si>
  <si>
    <t xml:space="preserve">Klabunde</t>
  </si>
  <si>
    <t xml:space="preserve">RYTECH, LLC</t>
  </si>
  <si>
    <t xml:space="preserve">https://www.linkedin.com/in/baileyklabunde/</t>
  </si>
  <si>
    <t xml:space="preserve">https://www.linkedin.com/company/rytechllc</t>
  </si>
  <si>
    <t xml:space="preserve">PR, Communications, Digital Marketing and Client Services | University of Wisconsin - Milwaukee</t>
  </si>
  <si>
    <t xml:space="preserve">October 2025 - Present</t>
  </si>
  <si>
    <t xml:space="preserve">Jolene</t>
  </si>
  <si>
    <t xml:space="preserve">Delisle</t>
  </si>
  <si>
    <t xml:space="preserve">The Working Assembly</t>
  </si>
  <si>
    <t xml:space="preserve">Design</t>
  </si>
  <si>
    <t xml:space="preserve">https://theworkingassembly.com</t>
  </si>
  <si>
    <t xml:space="preserve">https://www.linkedin.com/in/jolened</t>
  </si>
  <si>
    <t xml:space="preserve">https://www.linkedin.com/company/theworkingassembly/</t>
  </si>
  <si>
    <t xml:space="preserve">Founder, The Working Assembly, Forbes Next 1000, Adweek Creative 100, Inc’s Female Founders 250, EY Winning Women, Investor, Advisor</t>
  </si>
  <si>
    <t xml:space="preserve">2/4/2017 - now</t>
  </si>
  <si>
    <t xml:space="preserve">Quinten</t>
  </si>
  <si>
    <t xml:space="preserve">Collis</t>
  </si>
  <si>
    <t xml:space="preserve">Senior Art Director</t>
  </si>
  <si>
    <t xml:space="preserve">Tipping Point Media (tipmedia.com)</t>
  </si>
  <si>
    <t xml:space="preserve">Philadelphia, Pennsylvania, United States</t>
  </si>
  <si>
    <t xml:space="preserve">http://www.quintencollis.com</t>
  </si>
  <si>
    <t xml:space="preserve">https://www.linkedin.com/in/quinten-collis-12849a16</t>
  </si>
  <si>
    <t xml:space="preserve">https://linkedin.com/company/1994064</t>
  </si>
  <si>
    <t xml:space="preserve">Art Director at Tipping Point Media Group, LLC</t>
  </si>
  <si>
    <t xml:space="preserve">02/01/2013 - Present</t>
  </si>
  <si>
    <t xml:space="preserve">Allison</t>
  </si>
  <si>
    <t xml:space="preserve">Leatherbury</t>
  </si>
  <si>
    <t xml:space="preserve">Waybetter Marketing</t>
  </si>
  <si>
    <t xml:space="preserve">Towson, Maryland, United States</t>
  </si>
  <si>
    <t xml:space="preserve">https://www.linkedin.com/in/aleatherbury</t>
  </si>
  <si>
    <t xml:space="preserve">https://www.linkedin.com/company/waybetter-marketing</t>
  </si>
  <si>
    <t xml:space="preserve">Client Success Manager at Waybetter Marketing</t>
  </si>
  <si>
    <t xml:space="preserve">June 2026 - Present</t>
  </si>
  <si>
    <t xml:space="preserve">Zimmerman</t>
  </si>
  <si>
    <t xml:space="preserve">Epic Notion</t>
  </si>
  <si>
    <t xml:space="preserve">Charlotte Metro, United States</t>
  </si>
  <si>
    <t xml:space="preserve">https://epicnotion.com</t>
  </si>
  <si>
    <t xml:space="preserve">https://www.linkedin.com/in/sarah-zimmerman-3008</t>
  </si>
  <si>
    <t xml:space="preserve">https://www.linkedin.com/company/epic-notion/</t>
  </si>
  <si>
    <t xml:space="preserve">Client Success Manager at Epic Notion</t>
  </si>
  <si>
    <t xml:space="preserve">Markus</t>
  </si>
  <si>
    <t xml:space="preserve">Machado</t>
  </si>
  <si>
    <t xml:space="preserve">Freelance Creative Director, art director, writer </t>
  </si>
  <si>
    <t xml:space="preserve">San Francisco Bay Area, United States</t>
  </si>
  <si>
    <t xml:space="preserve">https://www.linkedin.com/in/markus-machado-29b26422</t>
  </si>
  <si>
    <t xml:space="preserve">Writer-Director &amp; Brand Alchemist | Brand Mythology Inventor</t>
  </si>
  <si>
    <t xml:space="preserve">2/2/2010 - now</t>
  </si>
  <si>
    <t xml:space="preserve">2026-09-05 18:30</t>
  </si>
  <si>
    <t xml:space="preserve">Maddie</t>
  </si>
  <si>
    <t xml:space="preserve">Russo</t>
  </si>
  <si>
    <t xml:space="preserve">41South Creative</t>
  </si>
  <si>
    <t xml:space="preserve">Acworth, Georgia, United States</t>
  </si>
  <si>
    <t xml:space="preserve">https://www.linkedin.com/in/maddierichardson1</t>
  </si>
  <si>
    <t xml:space="preserve">https://www.linkedin.com/company/41south-creative</t>
  </si>
  <si>
    <t xml:space="preserve">Director of Client Services at 41South Creative</t>
  </si>
  <si>
    <t xml:space="preserve">May 2021 - Present</t>
  </si>
  <si>
    <t xml:space="preserve">D.</t>
  </si>
  <si>
    <t xml:space="preserve">Dixit</t>
  </si>
  <si>
    <t xml:space="preserve">Director Of Client Services</t>
  </si>
  <si>
    <t xml:space="preserve">Stamen</t>
  </si>
  <si>
    <t xml:space="preserve">http://www.linkedin.com</t>
  </si>
  <si>
    <t xml:space="preserve">https://www.linkedin.com/in/dvinaydixit</t>
  </si>
  <si>
    <t xml:space="preserve">https://www.linkedin.com/company/stamen</t>
  </si>
  <si>
    <t xml:space="preserve">Director of Client Services, Stamen Design</t>
  </si>
  <si>
    <t xml:space="preserve">August 2020 - Present</t>
  </si>
  <si>
    <t xml:space="preserve">tracy</t>
  </si>
  <si>
    <t xml:space="preserve">mitsunaga</t>
  </si>
  <si>
    <t xml:space="preserve">Mentus</t>
  </si>
  <si>
    <t xml:space="preserve">http://mentus.com</t>
  </si>
  <si>
    <t xml:space="preserve">https://www.linkedin.com/in/tracy-mitsunaga-85039611</t>
  </si>
  <si>
    <t xml:space="preserve">https://www.linkedin.com/company/mentus</t>
  </si>
  <si>
    <t xml:space="preserve">March 1983 - Present</t>
  </si>
  <si>
    <t xml:space="preserve">Josh</t>
  </si>
  <si>
    <t xml:space="preserve">Tarin</t>
  </si>
  <si>
    <t xml:space="preserve">Managing Director, Client Services &amp; Operations</t>
  </si>
  <si>
    <t xml:space="preserve">Visionary Playground</t>
  </si>
  <si>
    <t xml:space="preserve">https://vp.agency</t>
  </si>
  <si>
    <t xml:space="preserve">https://www.linkedin.com/in/joshtarin</t>
  </si>
  <si>
    <t xml:space="preserve">https://www.linkedin.com/company/vpagency/</t>
  </si>
  <si>
    <t xml:space="preserve">Founder | Entrepreneur | Business Development</t>
  </si>
  <si>
    <t xml:space="preserve">4/01/2014 - now</t>
  </si>
  <si>
    <t xml:space="preserve">Brogdon</t>
  </si>
  <si>
    <t xml:space="preserve">Vice President of Client Services</t>
  </si>
  <si>
    <t xml:space="preserve">Bedford Advertising</t>
  </si>
  <si>
    <t xml:space="preserve">Frisco, Texas, United States</t>
  </si>
  <si>
    <t xml:space="preserve">https://www.linkedin.com/in/brandon-brogdon-1a88208</t>
  </si>
  <si>
    <t xml:space="preserve">https://www.linkedin.com/company/bedford-advertising</t>
  </si>
  <si>
    <t xml:space="preserve">Vice President of Client Services at Bedford Advertising</t>
  </si>
  <si>
    <t xml:space="preserve">Pritts</t>
  </si>
  <si>
    <t xml:space="preserve">Associate Creative Director - Head of Motion Graphics</t>
  </si>
  <si>
    <t xml:space="preserve">Exclaim</t>
  </si>
  <si>
    <t xml:space="preserve">Lisle, Illinois, United States</t>
  </si>
  <si>
    <t xml:space="preserve">https://www.linkedin.com/in/tim-pritts-4694a89</t>
  </si>
  <si>
    <t xml:space="preserve">https://linkedin.com/company/267154</t>
  </si>
  <si>
    <t xml:space="preserve">Associate Creative Director | Head of Motion Graphics &amp; Animation</t>
  </si>
  <si>
    <t xml:space="preserve">12/01/1999 - Present</t>
  </si>
  <si>
    <t xml:space="preserve">Daniel Z.</t>
  </si>
  <si>
    <t xml:space="preserve">Harris</t>
  </si>
  <si>
    <t xml:space="preserve">Creative Director (Head of Design)</t>
  </si>
  <si>
    <t xml:space="preserve">PenToPaper</t>
  </si>
  <si>
    <t xml:space="preserve">https://hellopentopaper.com</t>
  </si>
  <si>
    <t xml:space="preserve">https://www.linkedin.com/in/daniel-z-harris</t>
  </si>
  <si>
    <t xml:space="preserve">https://www.linkedin.com/company/pentopaperdesigns/</t>
  </si>
  <si>
    <t xml:space="preserve">Senior Product Designer • UX Strategy • Design Systems • Simplifying complex digital products</t>
  </si>
  <si>
    <t xml:space="preserve">2/8/2025 - now</t>
  </si>
  <si>
    <t xml:space="preserve">Maldini</t>
  </si>
  <si>
    <t xml:space="preserve">Grupo Gallegos</t>
  </si>
  <si>
    <t xml:space="preserve">Long Beach, California, United States</t>
  </si>
  <si>
    <t xml:space="preserve">https://www.linkedin.com/in/maria-maldini-b402701a/</t>
  </si>
  <si>
    <t xml:space="preserve">https://linkedin.com/company/46613</t>
  </si>
  <si>
    <t xml:space="preserve">Director of Creative Services at Gallegos United</t>
  </si>
  <si>
    <t xml:space="preserve">01/01/2001 - Present</t>
  </si>
  <si>
    <t xml:space="preserve">Dusty</t>
  </si>
  <si>
    <t xml:space="preserve">Hayes</t>
  </si>
  <si>
    <t xml:space="preserve">GravitateDigital</t>
  </si>
  <si>
    <t xml:space="preserve">Clanton, Alabama, United States</t>
  </si>
  <si>
    <t xml:space="preserve">https://www.linkedin.com/in/dustyleehayes</t>
  </si>
  <si>
    <t xml:space="preserve">https://www.linkedin.com/company/gravitatedigital</t>
  </si>
  <si>
    <t xml:space="preserve">Helping Brands Grow at Gravitate Digital | Client Success Manager</t>
  </si>
  <si>
    <t xml:space="preserve">Linas</t>
  </si>
  <si>
    <t xml:space="preserve">Virbickas</t>
  </si>
  <si>
    <t xml:space="preserve">Creative Director / Art Director / Designer / Maker</t>
  </si>
  <si>
    <t xml:space="preserve">lvadworks</t>
  </si>
  <si>
    <t xml:space="preserve">Chevy Chase, Maryland, United States</t>
  </si>
  <si>
    <t xml:space="preserve">https://lvadworks.com</t>
  </si>
  <si>
    <t xml:space="preserve">https://www.linkedin.com/in/linas-virbickas-7224453</t>
  </si>
  <si>
    <t xml:space="preserve">https://www.linkedin.com/company/lvadworks/</t>
  </si>
  <si>
    <t xml:space="preserve">3/01/2019 - now</t>
  </si>
  <si>
    <t xml:space="preserve">Christina</t>
  </si>
  <si>
    <t xml:space="preserve">Sailer</t>
  </si>
  <si>
    <t xml:space="preserve">Client Services Director</t>
  </si>
  <si>
    <t xml:space="preserve">Redscout</t>
  </si>
  <si>
    <t xml:space="preserve">https://www.linkedin.com/in/christinasailer</t>
  </si>
  <si>
    <t xml:space="preserve">https://www.linkedin.com/company/redscout</t>
  </si>
  <si>
    <t xml:space="preserve">Director Client Services at Redscout</t>
  </si>
  <si>
    <t xml:space="preserve">June 2022 - Present</t>
  </si>
  <si>
    <t xml:space="preserve">Joe</t>
  </si>
  <si>
    <t xml:space="preserve">Bloch</t>
  </si>
  <si>
    <t xml:space="preserve">Freelance Creative Director / Art Director</t>
  </si>
  <si>
    <t xml:space="preserve">PHARMAGODS</t>
  </si>
  <si>
    <t xml:space="preserve">https://pharmagods.com</t>
  </si>
  <si>
    <t xml:space="preserve">https://www.linkedin.com/in/joebloch</t>
  </si>
  <si>
    <t xml:space="preserve">https://www.linkedin.com/company/godsofpharma/</t>
  </si>
  <si>
    <t xml:space="preserve">Freelance Creative Director | Art Director | Pharma &amp; Healthcare</t>
  </si>
  <si>
    <t xml:space="preserve">Kathy</t>
  </si>
  <si>
    <t xml:space="preserve">Hathorn</t>
  </si>
  <si>
    <t xml:space="preserve">American Art Resources</t>
  </si>
  <si>
    <t xml:space="preserve">https://www.linkedin.com/in/kathy-hathorn-ma-edac-9b048210</t>
  </si>
  <si>
    <t xml:space="preserve">https://www.linkedin.com/company/american-art-resources</t>
  </si>
  <si>
    <t xml:space="preserve">Former CEO and Creative Director, American Art Resources</t>
  </si>
  <si>
    <t xml:space="preserve">1982 - June 2020</t>
  </si>
  <si>
    <t xml:space="preserve">Lia</t>
  </si>
  <si>
    <t xml:space="preserve">Griffith</t>
  </si>
  <si>
    <t xml:space="preserve">CEO, Founder &amp; Creative Director</t>
  </si>
  <si>
    <t xml:space="preserve">Lia Griffith Media</t>
  </si>
  <si>
    <t xml:space="preserve">http://liagriffith.com</t>
  </si>
  <si>
    <t xml:space="preserve">https://www.linkedin.com/in/lia-griffith-98547114</t>
  </si>
  <si>
    <t xml:space="preserve">https://www.linkedin.com/company/lia-griffith-media</t>
  </si>
  <si>
    <t xml:space="preserve">CEO | Creative Director</t>
  </si>
  <si>
    <t xml:space="preserve">March 2013 - Present</t>
  </si>
  <si>
    <t xml:space="preserve">Steven</t>
  </si>
  <si>
    <t xml:space="preserve">Sicular</t>
  </si>
  <si>
    <t xml:space="preserve">SCA Agency</t>
  </si>
  <si>
    <t xml:space="preserve">www.scaagency.com</t>
  </si>
  <si>
    <t xml:space="preserve">https://www.linkedin.com/in/steven-sicular</t>
  </si>
  <si>
    <t xml:space="preserve">https://www.linkedin.com/company/sca-agency</t>
  </si>
  <si>
    <t xml:space="preserve">Glenn</t>
  </si>
  <si>
    <t xml:space="preserve">Karpel</t>
  </si>
  <si>
    <t xml:space="preserve">Head of Creative Advertising / Creative Director</t>
  </si>
  <si>
    <t xml:space="preserve">Champ &amp; Pepper Inc.</t>
  </si>
  <si>
    <t xml:space="preserve">http://www.adorecreative.com/</t>
  </si>
  <si>
    <t xml:space="preserve">https://www.linkedin.com/in/glenn-karpel-gak1</t>
  </si>
  <si>
    <t xml:space="preserve">https://www.linkedin.com/company/champ-&amp;-pepper-inc.</t>
  </si>
  <si>
    <t xml:space="preserve">December 2020 - Present</t>
  </si>
  <si>
    <t xml:space="preserve">EunSun</t>
  </si>
  <si>
    <t xml:space="preserve">CMYK+WHITE</t>
  </si>
  <si>
    <t xml:space="preserve">https://www.linkedin.com/in/eunsun-lee-aba5a34</t>
  </si>
  <si>
    <t xml:space="preserve">https://www.linkedin.com/company/cmykpluswhite</t>
  </si>
  <si>
    <t xml:space="preserve">President/Creative Director, CMYK+WHITE, INC.</t>
  </si>
  <si>
    <t xml:space="preserve">August 2003 - Present</t>
  </si>
  <si>
    <t xml:space="preserve">Brianna</t>
  </si>
  <si>
    <t xml:space="preserve">Tobias</t>
  </si>
  <si>
    <t xml:space="preserve">Founder</t>
  </si>
  <si>
    <t xml:space="preserve">Kaliber Events</t>
  </si>
  <si>
    <t xml:space="preserve">Events Services</t>
  </si>
  <si>
    <t xml:space="preserve">Greater St. Louis, United States</t>
  </si>
  <si>
    <t xml:space="preserve">https://kaliberevents.ai</t>
  </si>
  <si>
    <t xml:space="preserve">https://www.linkedin.com/in/briannatobias/</t>
  </si>
  <si>
    <t xml:space="preserve">https://www.linkedin.com/company/kaliber-by-b-kori/</t>
  </si>
  <si>
    <t xml:space="preserve">Founder @ Kaliber Events  Events &amp; Entertainment | Brand &amp; Strategy | Tech &amp; Leadership Speaker  | Arch Grants ’25 Finalist</t>
  </si>
  <si>
    <t xml:space="preserve">4/01/2025 - now</t>
  </si>
  <si>
    <t xml:space="preserve">COMPETITOR_PAGE_URL</t>
  </si>
  <si>
    <t xml:space="preserve">Just engaged with a &lt;a href='https://www.linkedin.com/posts/canva_text-elements-color-the-building-blocks-activity-7500145424469598208-HK7l?utm_source=social_share_send&amp;utm_medium=member_desktop_web&amp;rcm=ACoAAGjcZHMBGbJluMijL2Cdi1d6POW_79TAn2Y' target='_blank'&gt;competitor&lt;/a&gt;</t>
  </si>
  <si>
    <t xml:space="preserve">https://www.linkedin.com/company/canva</t>
  </si>
  <si>
    <t xml:space="preserve">Founder role matches ICP, location in US; company size close; industry adjacent to ICP.</t>
  </si>
  <si>
    <t xml:space="preserve">2026-09-05 15:13</t>
  </si>
  <si>
    <t xml:space="preserve">Phillip</t>
  </si>
  <si>
    <t xml:space="preserve">Oakley</t>
  </si>
  <si>
    <t xml:space="preserve">Founder and Partner</t>
  </si>
  <si>
    <t xml:space="preserve">Common Giant</t>
  </si>
  <si>
    <t xml:space="preserve">Winston-Salem, North Carolina, United States</t>
  </si>
  <si>
    <t xml:space="preserve">http://www.commongiant.com/</t>
  </si>
  <si>
    <t xml:space="preserve">https://www.linkedin.com/in/phillipoakley/</t>
  </si>
  <si>
    <t xml:space="preserve">https://linkedin.com/company/2833185</t>
  </si>
  <si>
    <t xml:space="preserve">Mixing strategy and creativity to build brands through effective marketing. Energetic speaker, foodie, soccer player, and proud Dad.</t>
  </si>
  <si>
    <t xml:space="preserve">INFLUENCER_PAGE_URL</t>
  </si>
  <si>
    <t xml:space="preserve">Just engaged with an &lt;a href='https://www.linkedin.com/posts/thechrisdo_adobepartner-activity-7500953334774808576-1y_9?utm_source=social_share_send&amp;utm_medium=member_desktop_web&amp;rcm=ACoAAGj9jzQBeZj8Td_83Z-7ciZmPvVp9LjHazg' target='_blank'&gt;industry expert&lt;/a&gt;</t>
  </si>
  <si>
    <t xml:space="preserve">https://www.linkedin.com/in/thechrisdo</t>
  </si>
  <si>
    <t xml:space="preserve">Role maps to Founder; location is in the US; industry aligns with Marketing Services; company size is one band smaller than ICP.</t>
  </si>
  <si>
    <t xml:space="preserve">2026-09-05 03:43</t>
  </si>
  <si>
    <t xml:space="preserve">Rafael</t>
  </si>
  <si>
    <t xml:space="preserve">Valente</t>
  </si>
  <si>
    <t xml:space="preserve">Sr Art Director</t>
  </si>
  <si>
    <t xml:space="preserve">Questus</t>
  </si>
  <si>
    <t xml:space="preserve">51-200 employees</t>
  </si>
  <si>
    <t xml:space="preserve">Los Angeles County, California, United States</t>
  </si>
  <si>
    <t xml:space="preserve">http://valentecreative.com</t>
  </si>
  <si>
    <t xml:space="preserve">https://www.linkedin.com/in/rafael-valente-29ba7551/</t>
  </si>
  <si>
    <t xml:space="preserve">https://www.linkedin.com/company/questus</t>
  </si>
  <si>
    <t xml:space="preserve">Sr Art Director at Questus</t>
  </si>
  <si>
    <t xml:space="preserve">July 2022 - Present</t>
  </si>
  <si>
    <t xml:space="preserve">Role aligns with Art Director; US location matches ICP; industry aligns; company size is one band larger than ICP.</t>
  </si>
  <si>
    <t xml:space="preserve">Cotroneo</t>
  </si>
  <si>
    <t xml:space="preserve">president/art director at SAC Designs, Inc.</t>
  </si>
  <si>
    <t xml:space="preserve">SAC Designs, Inc.</t>
  </si>
  <si>
    <t xml:space="preserve">Hudson, New Hampshire, United States</t>
  </si>
  <si>
    <t xml:space="preserve">http://www.sacdzn.com</t>
  </si>
  <si>
    <t xml:space="preserve">https://www.linkedin.com/in/sacdzn</t>
  </si>
  <si>
    <t xml:space="preserve">https://www.linkedin.com/company/sac-designs-inc.</t>
  </si>
  <si>
    <t xml:space="preserve">I help biotech teams, financial firms, and event producers turn complex ideas into clear motion, pre-roll ads, and digital campaigns.</t>
  </si>
  <si>
    <t xml:space="preserve">2003 - Present</t>
  </si>
  <si>
    <t xml:space="preserve">Just engaged with the industry expert &lt;a href='https://www.linkedin.com/posts/thechrisdo_adobepartner-activity-7500953334774808576-1y_9?utm_source=social_share_send&amp;utm_medium=member_desktop_web&amp;rcm=ACoAAGj9jzQBeZj8Td_83Z-7ciZmPvVp9LjHazg' target='_blank'&gt;Chris Do&lt;/a&gt;</t>
  </si>
  <si>
    <t xml:space="preserve">Role clearly matches ICP titles (President/Art Director) and location/size fit the US-based design services ICP.</t>
  </si>
  <si>
    <t xml:space="preserve">Joshua</t>
  </si>
  <si>
    <t xml:space="preserve">Large</t>
  </si>
  <si>
    <t xml:space="preserve">Founder &amp; Recruiter</t>
  </si>
  <si>
    <t xml:space="preserve">2PM Talent</t>
  </si>
  <si>
    <t xml:space="preserve">https://2pmtalent.com</t>
  </si>
  <si>
    <t xml:space="preserve">https://www.linkedin.com/in/joshua-large-629479111</t>
  </si>
  <si>
    <t xml:space="preserve">https://www.linkedin.com/company/2pm-talent/</t>
  </si>
  <si>
    <t xml:space="preserve">Founder &amp; Recruiter at 2PM Talent- Filling the toughest vacancies in the Pharmaceutical Advertising, Retail Marketing and Independent Advertising Agencies.</t>
  </si>
  <si>
    <t xml:space="preserve">Just engaged with a post written by &lt;a href='https://www.linkedin.com/feed/update/urn:li:activity:7500642524559040512/' target='_blank'&gt;Claire Farrant&lt;/a&gt;</t>
  </si>
  <si>
    <t xml:space="preserve">"creative as a service"</t>
  </si>
  <si>
    <t xml:space="preserve">Founder in US advertising services with matching company size and location.</t>
  </si>
  <si>
    <t xml:space="preserve">2026-09-04 15:11</t>
  </si>
  <si>
    <t xml:space="preserve">Reardon</t>
  </si>
  <si>
    <t xml:space="preserve">Owner, Founder, &amp; Creative Strategist</t>
  </si>
  <si>
    <t xml:space="preserve">Hapacity Marketing</t>
  </si>
  <si>
    <t xml:space="preserve">Panama City Beach, Florida, United States</t>
  </si>
  <si>
    <t xml:space="preserve">https://hapacity.com/</t>
  </si>
  <si>
    <t xml:space="preserve">https://www.linkedin.com/in/holly-reardon/</t>
  </si>
  <si>
    <t xml:space="preserve">https://linkedin.com/company/74503303</t>
  </si>
  <si>
    <t xml:space="preserve">Fractional Creative Director | I help marketing leaders stop being human duct tape | Founder, Hapacity Marketing</t>
  </si>
  <si>
    <t xml:space="preserve">07/01/2021 - Present</t>
  </si>
  <si>
    <t xml:space="preserve">Just engaged with an &lt;a href='https://www.linkedin.com/posts/daniel-murray-marketing_everyone-wants-sales-yet-so-few-companies-activity-7496202390187081729-OOLP?utm_source=social_share_send&amp;utm_medium=member_desktop_web&amp;rcm=ACoAAGjgx5IBm5N4YswKYzngH_6sbBzzhTG84WM' target='_blank'&gt;industry expert&lt;/a&gt;</t>
  </si>
  <si>
    <t xml:space="preserve">https://www.linkedin.com/in/daniel-murray-marketing</t>
  </si>
  <si>
    <t xml:space="preserve">Role maps to Founder and ICP aligns on industry, size, and US location.</t>
  </si>
  <si>
    <t xml:space="preserve">2026-09-04 09:31</t>
  </si>
  <si>
    <t xml:space="preserve">Murray</t>
  </si>
  <si>
    <t xml:space="preserve">Founder and Creator</t>
  </si>
  <si>
    <t xml:space="preserve">The Marketing Millennials</t>
  </si>
  <si>
    <t xml:space="preserve">Media Production</t>
  </si>
  <si>
    <t xml:space="preserve">https://linktr.ee</t>
  </si>
  <si>
    <t xml:space="preserve">https://www.linkedin.com/company/the-marketing-millennials/</t>
  </si>
  <si>
    <t xml:space="preserve">Founder - The Marketing Millennials | Founder @ Authority - Turn attention into authority on LinkedIn | Former D1 Athlete</t>
  </si>
  <si>
    <t xml:space="preserve">4/01/2020 - now</t>
  </si>
  <si>
    <t xml:space="preserve">Just engaged with the industry expert &lt;a href='https://www.linkedin.com/posts/daniel-murray-marketing_everyone-wants-sales-yet-so-few-companies-activity-7496202390187081729-OOLP?utm_source=social_share_send&amp;utm_medium=member_desktop_web&amp;rcm=ACoAAGjgx5IBm5N4YswKYzngH_6sbBzzhTG84WM' target='_blank'&gt;Daniel Murray&lt;/a&gt;</t>
  </si>
  <si>
    <t xml:space="preserve">Founder fits ICP; location and size align; industry is adjacent but not a core fit.</t>
  </si>
  <si>
    <t xml:space="preserve">2026-09-04 09:30</t>
  </si>
  <si>
    <t xml:space="preserve">Farhan</t>
  </si>
  <si>
    <t xml:space="preserve">Malik</t>
  </si>
  <si>
    <t xml:space="preserve">Media Glitch</t>
  </si>
  <si>
    <t xml:space="preserve">Prosper, Texas, United States</t>
  </si>
  <si>
    <t xml:space="preserve">https://www.linkedin.com/in/engr-farhan-malik</t>
  </si>
  <si>
    <t xml:space="preserve">https://linkedin.com/company/107126212</t>
  </si>
  <si>
    <t xml:space="preserve">Creator-led growth for AI, SaaS &amp; dev tools | 7–8% CTR campaigns that convert to paid</t>
  </si>
  <si>
    <t xml:space="preserve">04/01/2025 - Present</t>
  </si>
  <si>
    <t xml:space="preserve">Founder at a 2-10 employee advertising services company in the US aligns with ICP roles and location.</t>
  </si>
  <si>
    <t xml:space="preserve">Phil</t>
  </si>
  <si>
    <t xml:space="preserve">Fattore</t>
  </si>
  <si>
    <t xml:space="preserve">Group Creative Director</t>
  </si>
  <si>
    <t xml:space="preserve">Terri &amp; Sandy</t>
  </si>
  <si>
    <t xml:space="preserve">https://www.linkedin.com/redir/redirect?url=http://www.philfattore.com&amp;urlhash=s538&amp;trk=public_profile_topcard-website</t>
  </si>
  <si>
    <t xml:space="preserve">https://www.linkedin.com/in/phil-fattore-b1124751</t>
  </si>
  <si>
    <t xml:space="preserve">https://www.linkedin.com/company/terrisandy</t>
  </si>
  <si>
    <t xml:space="preserve">Group Creative Director &amp; Writer</t>
  </si>
  <si>
    <t xml:space="preserve">RECENTLY_CHANGED_JOB</t>
  </si>
  <si>
    <t xml:space="preserve">Strategic Window: Just hired · July 2026</t>
  </si>
  <si>
    <t xml:space="preserve">Role maps to ICP titles; location, industry, and size align with US Marketing/Advertising ICP.</t>
  </si>
  <si>
    <t xml:space="preserve">2026-09-04 03:04</t>
  </si>
  <si>
    <t xml:space="preserve">Gia</t>
  </si>
  <si>
    <t xml:space="preserve">H.</t>
  </si>
  <si>
    <t xml:space="preserve">Founder &amp; Editor</t>
  </si>
  <si>
    <t xml:space="preserve">Counsel Times™</t>
  </si>
  <si>
    <t xml:space="preserve">Technology, Information and Internet</t>
  </si>
  <si>
    <t xml:space="preserve">Irvine, California, United States</t>
  </si>
  <si>
    <t xml:space="preserve">https://www.linkedin.com/in/giahe</t>
  </si>
  <si>
    <t xml:space="preserve">https://www.linkedin.com/company/counseltimes/</t>
  </si>
  <si>
    <t xml:space="preserve">Founder | Product &amp; Data Analyst @ SaaS | U.S. National Women in STEM Award Recipient ($10,000)</t>
  </si>
  <si>
    <t xml:space="preserve">4/6/2026 - now</t>
  </si>
  <si>
    <t xml:space="preserve">Founder aligns with ICP; company size and location fit, and industry is a strong match.</t>
  </si>
  <si>
    <t xml:space="preserve">Harry</t>
  </si>
  <si>
    <t xml:space="preserve">W.</t>
  </si>
  <si>
    <t xml:space="preserve">Coming Soon!</t>
  </si>
  <si>
    <t xml:space="preserve">Business Consulting and Services</t>
  </si>
  <si>
    <t xml:space="preserve">https://www.linkedin.com/in/harryweiner</t>
  </si>
  <si>
    <t xml:space="preserve">https://www.linkedin.com/company/cerulean-health/</t>
  </si>
  <si>
    <t xml:space="preserve">Executive Search</t>
  </si>
  <si>
    <t xml:space="preserve">Founder's role aligns with ICP titles in the US-based 2-10 staff firm.</t>
  </si>
  <si>
    <t xml:space="preserve">Amber</t>
  </si>
  <si>
    <t xml:space="preserve">Doughty</t>
  </si>
  <si>
    <t xml:space="preserve">Vice President, Client Success</t>
  </si>
  <si>
    <t xml:space="preserve">BMO Media</t>
  </si>
  <si>
    <t xml:space="preserve">https://bmomedia.co</t>
  </si>
  <si>
    <t xml:space="preserve">https://www.linkedin.com/in/amber-doughty-11691681</t>
  </si>
  <si>
    <t xml:space="preserve">https://www.linkedin.com/company/bmo-media/</t>
  </si>
  <si>
    <t xml:space="preserve">VP, Client Success</t>
  </si>
  <si>
    <t xml:space="preserve">Role aligns to Client Success leadership in US; industry and size/location match ICP.</t>
  </si>
  <si>
    <t xml:space="preserve">Logan</t>
  </si>
  <si>
    <t xml:space="preserve">Varra</t>
  </si>
  <si>
    <t xml:space="preserve">Senior Manager, Client Success</t>
  </si>
  <si>
    <t xml:space="preserve">illuma</t>
  </si>
  <si>
    <t xml:space="preserve">https://www.linkedin.com/in/logan-varra-25177b1a2</t>
  </si>
  <si>
    <t xml:space="preserve">https://www.linkedin.com/company/illuma-technology-limited</t>
  </si>
  <si>
    <t xml:space="preserve">Role aligns with Client Success; industry, location, and company size match the US advertising/design services ICP.</t>
  </si>
  <si>
    <t xml:space="preserve">Nancy</t>
  </si>
  <si>
    <t xml:space="preserve">O'Connell</t>
  </si>
  <si>
    <t xml:space="preserve">Pragmatic</t>
  </si>
  <si>
    <t xml:space="preserve">https://www.linkedin.com/redir/redirect?url=https://nancycoconnell.wixsite.com/nancycoconnell&amp;urlhash=yA5M&amp;trk=public_profile_topcard-website</t>
  </si>
  <si>
    <t xml:space="preserve">https://www.linkedin.com/in/nancyknowscopy</t>
  </si>
  <si>
    <t xml:space="preserve">https://www.linkedin.com/company/pragmatic-communications</t>
  </si>
  <si>
    <t xml:space="preserve">ACD Copy at Pragmatic</t>
  </si>
  <si>
    <t xml:space="preserve">Role maps to ICP senior creative leadership; location, industry, and company size match ICP.</t>
  </si>
  <si>
    <t xml:space="preserve">Clark</t>
  </si>
  <si>
    <t xml:space="preserve">Fritzsch</t>
  </si>
  <si>
    <t xml:space="preserve">Managing Director</t>
  </si>
  <si>
    <t xml:space="preserve">3580 Partners</t>
  </si>
  <si>
    <t xml:space="preserve">https://www.linkedin.com/in/clarkfritzsch</t>
  </si>
  <si>
    <t xml:space="preserve">https://www.linkedin.com/company/3580-partners/</t>
  </si>
  <si>
    <t xml:space="preserve">Managing Director | Building the bridge between European business and the US Southeast. Supply chain, AI, and the honesty most consultants avoid.</t>
  </si>
  <si>
    <t xml:space="preserve">Managing Director at a US-based design/marketing services firm aligns with the ICP; location and size match.</t>
  </si>
  <si>
    <t xml:space="preserve">Camp + King</t>
  </si>
  <si>
    <t xml:space="preserve">https://www.linkedin.com/redir/redirect?url=vperez.world&amp;urlhash=e_wZ&amp;trk=public_profile_topcard-website</t>
  </si>
  <si>
    <t xml:space="preserve">https://www.linkedin.com/in/victoriajperez</t>
  </si>
  <si>
    <t xml:space="preserve">https://www.linkedin.com/company/camp-king</t>
  </si>
  <si>
    <t xml:space="preserve">Art Direction Intern @ Camp + King | The Academy at GS&amp;P Alum</t>
  </si>
  <si>
    <t xml:space="preserve">Art Director aligns with ICP titles; location, industry, and company size fit the US ICP.</t>
  </si>
  <si>
    <t xml:space="preserve">Reichenberg</t>
  </si>
  <si>
    <t xml:space="preserve">Tamara Group</t>
  </si>
  <si>
    <t xml:space="preserve">51-200</t>
  </si>
  <si>
    <t xml:space="preserve">https://www.linkedin.com/redir/redirect?url=http://ninajreichenberg.com&amp;urlhash=OkTq&amp;trk=public_profile_topcard-website</t>
  </si>
  <si>
    <t xml:space="preserve">https://www.linkedin.com/in/ninajreichenberg</t>
  </si>
  <si>
    <t xml:space="preserve">https://www.linkedin.com/company/tamara-group-llc</t>
  </si>
  <si>
    <t xml:space="preserve">Creative Lead | Senior Art Director</t>
  </si>
  <si>
    <t xml:space="preserve">Role maps to ICP title (Art Director variant), location and industry align (US Advertising/Design), company size is one band larger than ICP.</t>
  </si>
  <si>
    <t xml:space="preserve">Gourav</t>
  </si>
  <si>
    <t xml:space="preserve">Ontio AI</t>
  </si>
  <si>
    <t xml:space="preserve">IT Services and IT Consulting</t>
  </si>
  <si>
    <t xml:space="preserve">https://ontio.ai</t>
  </si>
  <si>
    <t xml:space="preserve">https://www.linkedin.com/in/gouravpatro</t>
  </si>
  <si>
    <t xml:space="preserve">https://www.linkedin.com/company/ontioai/</t>
  </si>
  <si>
    <t xml:space="preserve">Founder &amp; CEO at Ontio | Helping Enterprises Turn Data into Decisions</t>
  </si>
  <si>
    <t xml:space="preserve">Role maps to ICP titles; location and size align; industry is adjacent.</t>
  </si>
  <si>
    <t xml:space="preserve">Meet</t>
  </si>
  <si>
    <t xml:space="preserve">Panchal</t>
  </si>
  <si>
    <t xml:space="preserve">Founder &amp; Lead Developer</t>
  </si>
  <si>
    <t xml:space="preserve">Naisa Digital</t>
  </si>
  <si>
    <t xml:space="preserve">Fayetteville, Georgia, United States</t>
  </si>
  <si>
    <t xml:space="preserve">https://www.linkedin.com/redir/redirect?url=https://naisadigital.com/&amp;urlhash=wz5R&amp;trk=public_profile_topcard-website</t>
  </si>
  <si>
    <t xml:space="preserve">https://www.linkedin.com/in/meet-panchal-46b2a0143</t>
  </si>
  <si>
    <t xml:space="preserve">https://www.linkedin.com/company/naisa-digital</t>
  </si>
  <si>
    <t xml:space="preserve">Helping US &amp; UK businesses increase leads with high-converting websites.</t>
  </si>
  <si>
    <t xml:space="preserve">Founder role aligns with ICP; industry/location match; company size slightly off.</t>
  </si>
  <si>
    <t xml:space="preserve">Courtney</t>
  </si>
  <si>
    <t xml:space="preserve">KARMA jack</t>
  </si>
  <si>
    <t xml:space="preserve">Fenton, Michigan, United States</t>
  </si>
  <si>
    <t xml:space="preserve">https://karmajack.com</t>
  </si>
  <si>
    <t xml:space="preserve">https://www.linkedin.com/in/courtney-hayes-905653216</t>
  </si>
  <si>
    <t xml:space="preserve">https://www.linkedin.com/company/karma-jack/</t>
  </si>
  <si>
    <t xml:space="preserve">Creative Director at KARMA jack | Flint Rat Films</t>
  </si>
  <si>
    <t xml:space="preserve">Creative Director in US Advertising Services with 11-50 employees; location matches ICP.</t>
  </si>
  <si>
    <t xml:space="preserve">2026-09-04 03:03</t>
  </si>
  <si>
    <t xml:space="preserve">Giro</t>
  </si>
  <si>
    <t xml:space="preserve">Nemo Media Group</t>
  </si>
  <si>
    <t xml:space="preserve">Gilbert, Arizona, United States</t>
  </si>
  <si>
    <t xml:space="preserve">https://www.linkedin.com/in/nicolegiro</t>
  </si>
  <si>
    <t xml:space="preserve">https://www.linkedin.com/company/nemo-media-group</t>
  </si>
  <si>
    <t xml:space="preserve">“Done For You” LinkedIn Lead Generation for Small Business Owners</t>
  </si>
  <si>
    <t xml:space="preserve">Role aligns with ICP and location/size strongly match target profile.</t>
  </si>
  <si>
    <t xml:space="preserve">Therrien</t>
  </si>
  <si>
    <t xml:space="preserve">Something Different</t>
  </si>
  <si>
    <t xml:space="preserve">Portland, Maine, United States</t>
  </si>
  <si>
    <t xml:space="preserve">https://itssomethingdifferent.com</t>
  </si>
  <si>
    <t xml:space="preserve">https://www.linkedin.com/in/matt-therrien-b00a4941</t>
  </si>
  <si>
    <t xml:space="preserve">https://www.linkedin.com/company/somethingdifferentagency/</t>
  </si>
  <si>
    <t xml:space="preserve">A multi-disciplined creative, problem solver, coffee guzzler, tattooed, bearded, bad selfie-taker, motorcycle rider, maker, builder, wannabe sneakerhead, meme junkie, terrible LinkedInerer, and all around nice guy.</t>
  </si>
  <si>
    <t xml:space="preserve">Role maps to ICP; company size and US location align with ICP.</t>
  </si>
  <si>
    <t xml:space="preserve">Archie</t>
  </si>
  <si>
    <t xml:space="preserve">Powell</t>
  </si>
  <si>
    <t xml:space="preserve">Founder &amp; Managing Director</t>
  </si>
  <si>
    <t xml:space="preserve">Cooperidge Consulting Firm</t>
  </si>
  <si>
    <t xml:space="preserve">Washington DC-Baltimore Area, United States</t>
  </si>
  <si>
    <t xml:space="preserve">https://cooperidgeconsultingfirm.com</t>
  </si>
  <si>
    <t xml:space="preserve">https://www.linkedin.com/in/archie-powell-118476170</t>
  </si>
  <si>
    <t xml:space="preserve">https://www.linkedin.com/company/cooperidge-consulting-firm/</t>
  </si>
  <si>
    <t xml:space="preserve">Founder &amp; Managing Director | Cooperidge Consulting Firm | Strategic Capital Advisory | Business Growth Strategy | Government &amp; Commercial Solutions</t>
  </si>
  <si>
    <t xml:space="preserve">Founder role matches ICP; location/size align; industry is adjacent.</t>
  </si>
  <si>
    <t xml:space="preserve">Olivia</t>
  </si>
  <si>
    <t xml:space="preserve">Gutierrez</t>
  </si>
  <si>
    <t xml:space="preserve">Design Lead</t>
  </si>
  <si>
    <t xml:space="preserve">Yellow Goat Design</t>
  </si>
  <si>
    <t xml:space="preserve">Orlando, Florida, United States</t>
  </si>
  <si>
    <t xml:space="preserve">https://www.linkedin.com/redir/redirect?url=https://oliviagutierrezinteriordesign.godaddysites.com/portfolio&amp;urlhash=YE8s&amp;trk=public_profile_topcard-website</t>
  </si>
  <si>
    <t xml:space="preserve">https://www.linkedin.com/in/olivia-gutierrez-6905bb1b9</t>
  </si>
  <si>
    <t xml:space="preserve">https://www.linkedin.com/company/yellow-goat-design</t>
  </si>
  <si>
    <t xml:space="preserve">Design Lead at a US design services firm aligns with ICP; company size is one band above the target range.</t>
  </si>
  <si>
    <t xml:space="preserve">Hanly</t>
  </si>
  <si>
    <t xml:space="preserve">President</t>
  </si>
  <si>
    <t xml:space="preserve">angela adams</t>
  </si>
  <si>
    <t xml:space="preserve">Yarmouth, Maine, United States</t>
  </si>
  <si>
    <t xml:space="preserve">https://angelaadams.com</t>
  </si>
  <si>
    <t xml:space="preserve">https://www.linkedin.com/in/trevorhanly</t>
  </si>
  <si>
    <t xml:space="preserve">https://www.linkedin.com/company/angela-adams/</t>
  </si>
  <si>
    <t xml:space="preserve">President at angela adams</t>
  </si>
  <si>
    <t xml:space="preserve">President at a Design Services firm in the US matches the ICP role and industry.</t>
  </si>
  <si>
    <t xml:space="preserve">Emma</t>
  </si>
  <si>
    <t xml:space="preserve">S.</t>
  </si>
  <si>
    <t xml:space="preserve">IIDA Texas Oklahoma Chapter</t>
  </si>
  <si>
    <t xml:space="preserve">https://www.linkedin.com/in/emma-s-152817a6</t>
  </si>
  <si>
    <t xml:space="preserve">https://www.linkedin.com/company/iida-texas-oklahoma-chapter</t>
  </si>
  <si>
    <t xml:space="preserve">Architectural Representative at Daltile | President - IIDA TXOK Chapter</t>
  </si>
  <si>
    <t xml:space="preserve">President in US aligns with ICP; design services industry and size near target.</t>
  </si>
  <si>
    <t xml:space="preserve">Charlotte</t>
  </si>
  <si>
    <t xml:space="preserve">van den Bosch</t>
  </si>
  <si>
    <t xml:space="preserve">Creative Director Experience Design</t>
  </si>
  <si>
    <t xml:space="preserve">Tinker imagineers</t>
  </si>
  <si>
    <t xml:space="preserve">https://www.linkedin.com/redir/redirect?url=http://www.charlottevandenbosch.com&amp;urlhash=h3Dn&amp;trk=public_profile_topcard-website</t>
  </si>
  <si>
    <t xml:space="preserve">https://www.linkedin.com/in/charlottevandenbosch</t>
  </si>
  <si>
    <t xml:space="preserve">https://www.linkedin.com/company/tinkerimagineers</t>
  </si>
  <si>
    <t xml:space="preserve">Creative Director, interactive exhibition design</t>
  </si>
  <si>
    <t xml:space="preserve">Role maps to Creative Director; location, industry, and company size align with ICP.</t>
  </si>
  <si>
    <t xml:space="preserve">Danielle</t>
  </si>
  <si>
    <t xml:space="preserve">Ferguson</t>
  </si>
  <si>
    <t xml:space="preserve">Homewell Studio</t>
  </si>
  <si>
    <t xml:space="preserve">https://www.linkedin.com/in/ferguson-danielle</t>
  </si>
  <si>
    <t xml:space="preserve">https://www.linkedin.com/company/homewell-studio/</t>
  </si>
  <si>
    <t xml:space="preserve">Founder &amp; Creative Director, Homewell Studio | Design-Led Luxury Home Organizing &amp; Interior Styling | NYC, Westchester County, and Fairfield County</t>
  </si>
  <si>
    <t xml:space="preserve">Founder &amp; Creative Director at a design services firm in the US with US location and fit-level size.</t>
  </si>
  <si>
    <t xml:space="preserve">TaRon</t>
  </si>
  <si>
    <t xml:space="preserve">Joyner</t>
  </si>
  <si>
    <t xml:space="preserve">Agency Owner</t>
  </si>
  <si>
    <t xml:space="preserve">1991 Design</t>
  </si>
  <si>
    <t xml:space="preserve">0 - 1</t>
  </si>
  <si>
    <t xml:space="preserve">http://www.1991design.com</t>
  </si>
  <si>
    <t xml:space="preserve">https://www.linkedin.com/in/taronjoyner</t>
  </si>
  <si>
    <t xml:space="preserve">https://linkedin.com/company/106039755</t>
  </si>
  <si>
    <t xml:space="preserve">Experiential Design for Trade Shows &amp; Events | Adobe Certified Professional | Atlanta-Based</t>
  </si>
  <si>
    <t xml:space="preserve">03/01/2014 - Present</t>
  </si>
  <si>
    <t xml:space="preserve">Role likely maps to Founder/CEO; industry aligns with Design Services; US location; company size slightly smaller than ICP.</t>
  </si>
  <si>
    <t xml:space="preserve">Schroeder, NCIDQ, IIDA</t>
  </si>
  <si>
    <t xml:space="preserve">Senior Interior Design Lead</t>
  </si>
  <si>
    <t xml:space="preserve">Charlie Greene Studio</t>
  </si>
  <si>
    <t xml:space="preserve">https://www.linkedin.com/in/maggieschroeder</t>
  </si>
  <si>
    <t xml:space="preserve">https://www.linkedin.com/company/charlie-greene-studio</t>
  </si>
  <si>
    <t xml:space="preserve">Senior Interior Design Lead @ Charlie Greene Studio | NCIDQ, IIDA, Interior Architecture</t>
  </si>
  <si>
    <t xml:space="preserve">Role maps to Design Lead; strong fit on ICP industry, location, and size.</t>
  </si>
  <si>
    <t xml:space="preserve">Arelis</t>
  </si>
  <si>
    <t xml:space="preserve">Ferro</t>
  </si>
  <si>
    <t xml:space="preserve">IIDA South Florida Chapter (SFC)</t>
  </si>
  <si>
    <t xml:space="preserve">Fort Lauderdale, Florida, United States</t>
  </si>
  <si>
    <t xml:space="preserve">https://www.linkedin.com/in/arelisferro</t>
  </si>
  <si>
    <t xml:space="preserve">https://www.linkedin.com/company/iida-sfc</t>
  </si>
  <si>
    <t xml:space="preserve">Innovative Interior Design &amp; Management Professional</t>
  </si>
  <si>
    <t xml:space="preserve">Role matches ICP President; industry, size, and US location align with ICP.</t>
  </si>
  <si>
    <t xml:space="preserve">Barrett</t>
  </si>
  <si>
    <t xml:space="preserve">Creative Director (Freelance) </t>
  </si>
  <si>
    <t xml:space="preserve">Day Job</t>
  </si>
  <si>
    <t xml:space="preserve">https://dayjob.work</t>
  </si>
  <si>
    <t xml:space="preserve">https://www.linkedin.com/in/emma-barrett-2a1838b</t>
  </si>
  <si>
    <t xml:space="preserve">https://www.linkedin.com/company/day-job-studios/</t>
  </si>
  <si>
    <t xml:space="preserve">Creative Director (Freelance) — Brand Identity Systems — ex DesignStudio</t>
  </si>
  <si>
    <t xml:space="preserve">Role aligns with ICP and location and company size fit the target profile.</t>
  </si>
  <si>
    <t xml:space="preserve">Jim</t>
  </si>
  <si>
    <t xml:space="preserve">Daley</t>
  </si>
  <si>
    <t xml:space="preserve">VP of Brand and Creative Strategy</t>
  </si>
  <si>
    <t xml:space="preserve">Bray &amp; Co</t>
  </si>
  <si>
    <t xml:space="preserve">https://brayand.co</t>
  </si>
  <si>
    <t xml:space="preserve">https://www.linkedin.com/in/ACwAAAAJA8kBohuFrGBF2l-4SBGp6zA74VpU-YM</t>
  </si>
  <si>
    <t xml:space="preserve">https://www.linkedin.com/company/brayandcoagency/</t>
  </si>
  <si>
    <t xml:space="preserve">I specialize in building brands that don’t just stand out. They inspire action.I’m a global marketing executive with over 15 years of experience leading brand and creative strategy for Fortune 500 com...</t>
  </si>
  <si>
    <t xml:space="preserve">Role maps to senior creative leadership; strong fit across ICP criteria.</t>
  </si>
  <si>
    <t xml:space="preserve">2026-09-03 20:53</t>
  </si>
  <si>
    <t xml:space="preserve">Kurt</t>
  </si>
  <si>
    <t xml:space="preserve">Lohmann</t>
  </si>
  <si>
    <t xml:space="preserve">CEO &amp; Founder</t>
  </si>
  <si>
    <t xml:space="preserve">Engaged Digital Marketing</t>
  </si>
  <si>
    <t xml:space="preserve">https://engageddigital.com</t>
  </si>
  <si>
    <t xml:space="preserve">https://www.linkedin.com/in/ACwAAAE9xsUBikn-uVjrrlzsASWIjOTJloCFaLE</t>
  </si>
  <si>
    <t xml:space="preserve">https://www.linkedin.com/company/engageddigitalmarketing/</t>
  </si>
  <si>
    <t xml:space="preserve">I work with small and solo attorney law firms who are ready to grow their business - but are tired of wasting time and money on marketing that doesn’t work. If you’re struggling with low visibility, i...</t>
  </si>
  <si>
    <t xml:space="preserve">2/5/2015 - now</t>
  </si>
  <si>
    <t xml:space="preserve">Role maps to Founder/CEO; industry and location align with ICP; company size matches closely.</t>
  </si>
  <si>
    <t xml:space="preserve">Eric</t>
  </si>
  <si>
    <t xml:space="preserve">Richmond</t>
  </si>
  <si>
    <t xml:space="preserve">CiteMetrix</t>
  </si>
  <si>
    <t xml:space="preserve">Software Development</t>
  </si>
  <si>
    <t xml:space="preserve">Norwalk, Connecticut, United States</t>
  </si>
  <si>
    <t xml:space="preserve">https://linkedin.com</t>
  </si>
  <si>
    <t xml:space="preserve">https://www.linkedin.com/in/ACwAAAAbqmIBNToHxCUGBarKtoludtVy7AUykb8</t>
  </si>
  <si>
    <t xml:space="preserve">https://www.linkedin.com/company/citemetrix/</t>
  </si>
  <si>
    <t xml:space="preserve">The conversation about your brand is moving into AI — and most companies have no idea what it's saying. A few years ago, a client I'd worked with for four years asked me a simple question: what are Ch...</t>
  </si>
  <si>
    <t xml:space="preserve">Role aligns with ICP; industry and location match; small company size.</t>
  </si>
  <si>
    <t xml:space="preserve">Collins</t>
  </si>
  <si>
    <t xml:space="preserve">ADC • Global Awards &amp; Club</t>
  </si>
  <si>
    <t xml:space="preserve">https://adcglobal.org</t>
  </si>
  <si>
    <t xml:space="preserve">https://www.linkedin.com/in/ACwAAAEOx3ABtRhKpWZrf5i6kkonAZJCsk4NdWM</t>
  </si>
  <si>
    <t xml:space="preserve">https://www.linkedin.com/company/the-art-directors-club/</t>
  </si>
  <si>
    <t xml:space="preserve">Experience working with driven leaders, demanding CEOs, ambitious CMOs, hard-driving founders, eager investors, obsessive designers, genius engineers, observant writers, mad technologists, insightful ...</t>
  </si>
  <si>
    <t xml:space="preserve">President at a US-based design services company aligns with the ICP and seniority.</t>
  </si>
  <si>
    <t xml:space="preserve">Don</t>
  </si>
  <si>
    <t xml:space="preserve">Davis PhD, MBA</t>
  </si>
  <si>
    <t xml:space="preserve">D3 Digital Media Marketing</t>
  </si>
  <si>
    <t xml:space="preserve">https://d3digitalmedia.com</t>
  </si>
  <si>
    <t xml:space="preserve">https://www.linkedin.com/in/ACwAAABbJnwBlACMqnccnlRirAD3JOX2DKtZF5g</t>
  </si>
  <si>
    <t xml:space="preserve">https://www.linkedin.com/company/d3-digital-media-marketing/</t>
  </si>
  <si>
    <t xml:space="preserve">Most B2B marketing generates noise. Ours generates pipeline. I help High Tech and Life Sciences CEOs build marketing systems that convert visibility into qualified leads—without random tactics, discon...</t>
  </si>
  <si>
    <t xml:space="preserve">Founder in Advertising Services aligns with ICP role, industry, size, and US location.</t>
  </si>
  <si>
    <t xml:space="preserve">Langley</t>
  </si>
  <si>
    <t xml:space="preserve">CEO &amp; Co-Founder | OfficeHounds Social Media Agency</t>
  </si>
  <si>
    <t xml:space="preserve">OfficeHounds Social Media Agency</t>
  </si>
  <si>
    <t xml:space="preserve">Farragut, Iowa, United States</t>
  </si>
  <si>
    <t xml:space="preserve">https://officehounds.com</t>
  </si>
  <si>
    <t xml:space="preserve">https://www.linkedin.com/in/ACwAAAKBenAB9PkXE3G1VrFomHKjOTnKBykX3Ts</t>
  </si>
  <si>
    <t xml:space="preserve">https://www.linkedin.com/company/officehounds/</t>
  </si>
  <si>
    <t xml:space="preserve">If you have ever caught yourself wasting time doing social media marketing yourself, we should talk. 712-385-8652 | maggie@officehounds | officehounds.com/maggieWe help you to be the distraction, not ...</t>
  </si>
  <si>
    <t xml:space="preserve">5/01/2009 - now</t>
  </si>
  <si>
    <t xml:space="preserve">Role maps to Founder/CEO and location/industry/company size align with ICP.</t>
  </si>
  <si>
    <t xml:space="preserve">Autumn</t>
  </si>
  <si>
    <t xml:space="preserve">Seldon</t>
  </si>
  <si>
    <t xml:space="preserve">Chief Executive Officer</t>
  </si>
  <si>
    <t xml:space="preserve">MET Agency Sports</t>
  </si>
  <si>
    <t xml:space="preserve">https://getmet.org</t>
  </si>
  <si>
    <t xml:space="preserve">https://www.linkedin.com/in/ACwAAAA89ekBd3uJ2DPEzNrKkhdrv2KK2T_U9zE</t>
  </si>
  <si>
    <t xml:space="preserve">https://www.linkedin.com/company/met-agency-sports/</t>
  </si>
  <si>
    <t xml:space="preserve">A strategic visionary with an executive presence, I lead agency operations and financial performance with precision, discipline, and an unapologetic commitment to excellence. My work moves at the spee...</t>
  </si>
  <si>
    <t xml:space="preserve">01/01/2022 - now</t>
  </si>
  <si>
    <t xml:space="preserve">Role maps to ICP CEO; location, industry and size align with US Marketing/Advertising ICP.</t>
  </si>
  <si>
    <t xml:space="preserve">Subash</t>
  </si>
  <si>
    <t xml:space="preserve">Chandra</t>
  </si>
  <si>
    <t xml:space="preserve">Founder and CEO</t>
  </si>
  <si>
    <t xml:space="preserve">Seative Digital — UI/UX Design Agency</t>
  </si>
  <si>
    <t xml:space="preserve">Lewes, Delaware, United States</t>
  </si>
  <si>
    <t xml:space="preserve">https://seative.digital</t>
  </si>
  <si>
    <t xml:space="preserve">https://www.linkedin.com/in/ACwAABVn66QB9dsPW-gpIywmLHlZ6HVML4EP6Z4</t>
  </si>
  <si>
    <t xml:space="preserve">https://www.linkedin.com/company/seativedigital/</t>
  </si>
  <si>
    <t xml:space="preserve">Are you building a startup, eCommerce brand, or digital platform…but struggling to create an experience users actually connect with?Or maybe your product looks good……but users still drop off, disengag...</t>
  </si>
  <si>
    <t xml:space="preserve">1/2/2020 - now</t>
  </si>
  <si>
    <t xml:space="preserve">2026-09-03 20:52</t>
  </si>
  <si>
    <t xml:space="preserve">Matthew</t>
  </si>
  <si>
    <t xml:space="preserve">Brett</t>
  </si>
  <si>
    <t xml:space="preserve">Substance Strategic Visual Communication</t>
  </si>
  <si>
    <t xml:space="preserve">Graphic Design</t>
  </si>
  <si>
    <t xml:space="preserve">https://www.linkedin.com/redir/redirect?url=http://www.isubstance.com&amp;urlhash=YigJ&amp;trk=public_profile_website</t>
  </si>
  <si>
    <t xml:space="preserve">https://www.linkedin.com/in/ACwAAABCJtoBxi6bIHnZYb5v1aanZHptLNvZ4l8</t>
  </si>
  <si>
    <t xml:space="preserve">https://www.linkedin.com/company/substance-strategic-visual-communication</t>
  </si>
  <si>
    <t xml:space="preserve">THE WORKOver 20 years and 75+ rebranding engagements, I've led brand strategy and creative direction for organizations ranging from national foundations and Fortune 500 companies to community-based no...</t>
  </si>
  <si>
    <t xml:space="preserve">June 2005 - Present</t>
  </si>
  <si>
    <t xml:space="preserve">Creative Director at a design services agency in the United States aligns with the ICP; size is one band off.</t>
  </si>
  <si>
    <t xml:space="preserve">Brinson</t>
  </si>
  <si>
    <t xml:space="preserve">McGowan</t>
  </si>
  <si>
    <t xml:space="preserve">The Identity Crisis Co.</t>
  </si>
  <si>
    <t xml:space="preserve">https://theidentitycrisis.co</t>
  </si>
  <si>
    <t xml:space="preserve">https://www.linkedin.com/in/ACwAAA2mGQwBBfo-vvMRLHhz9dkSInAPuKKhASc</t>
  </si>
  <si>
    <t xml:space="preserve">https://www.linkedin.com/company/theidentitycrisisco/</t>
  </si>
  <si>
    <t xml:space="preserve">Hello I'm Brinson, a "strange hybrid" designer/director thriving at the intersection of AI, Product UX &amp;amp; Brand Design.With 10+ years of experience in both product &amp;amp; visual design, I operate as...</t>
  </si>
  <si>
    <t xml:space="preserve">Role and profile align with ICP; location and industry match; company size is close to ICP bands.</t>
  </si>
  <si>
    <t xml:space="preserve">Kevin</t>
  </si>
  <si>
    <t xml:space="preserve">Barclay</t>
  </si>
  <si>
    <t xml:space="preserve">Art and Creative Director</t>
  </si>
  <si>
    <t xml:space="preserve">Kevin Barclay</t>
  </si>
  <si>
    <t xml:space="preserve">https://www.linkedin.com/in/kevin-barclay-0998662</t>
  </si>
  <si>
    <t xml:space="preserve">Design Lead | Creative Direction | Brand Experience Design | Emerging AI | Team Building &amp; Mentorship | Thought Leadership | Deep C-Suite Experience</t>
  </si>
  <si>
    <t xml:space="preserve">2026-09-03 19:28</t>
  </si>
  <si>
    <t xml:space="preserve">Karin</t>
  </si>
  <si>
    <t xml:space="preserve">Siefkes</t>
  </si>
  <si>
    <t xml:space="preserve">Knack Collective</t>
  </si>
  <si>
    <t xml:space="preserve">Elkhorn, Nebraska, United States</t>
  </si>
  <si>
    <t xml:space="preserve">https://knackcollective.com</t>
  </si>
  <si>
    <t xml:space="preserve">https://www.linkedin.com/in/karinsiefkes</t>
  </si>
  <si>
    <t xml:space="preserve">https://www.linkedin.com/company/knack-collective/</t>
  </si>
  <si>
    <t xml:space="preserve">Creative Director &amp; Strategist  |  Branding Expert &amp; Manager   |  Art Director &amp; Team Leader</t>
  </si>
  <si>
    <t xml:space="preserve">3/10/2022 - now</t>
  </si>
  <si>
    <t xml:space="preserve">Ashley</t>
  </si>
  <si>
    <t xml:space="preserve">Associate Director of Client Services + Creative</t>
  </si>
  <si>
    <t xml:space="preserve">MJ2 Marketing</t>
  </si>
  <si>
    <t xml:space="preserve">https://mj2marketing.com</t>
  </si>
  <si>
    <t xml:space="preserve">https://www.linkedin.com/in/ashley-allison-b5b32925</t>
  </si>
  <si>
    <t xml:space="preserve">https://www.linkedin.com/company/mj2-marketing/</t>
  </si>
  <si>
    <t xml:space="preserve">Digital Strategist + Paid Media + Creative</t>
  </si>
  <si>
    <t xml:space="preserve">5/5/2023 - now</t>
  </si>
  <si>
    <t xml:space="preserve">Lord</t>
  </si>
  <si>
    <t xml:space="preserve">Creative Director, Art+Design</t>
  </si>
  <si>
    <t xml:space="preserve">Russell Lord</t>
  </si>
  <si>
    <t xml:space="preserve">https://russelllord.com</t>
  </si>
  <si>
    <t xml:space="preserve">https://www.linkedin.com/in/russelllord</t>
  </si>
  <si>
    <t xml:space="preserve">https://www.linkedin.com/company/russell-lord/</t>
  </si>
  <si>
    <t xml:space="preserve">Determined Optimist  |  Art + Design</t>
  </si>
  <si>
    <t xml:space="preserve">3/6/2025 - now</t>
  </si>
  <si>
    <t xml:space="preserve">Jinah</t>
  </si>
  <si>
    <t xml:space="preserve">A.</t>
  </si>
  <si>
    <t xml:space="preserve">Creative Director / Art Director</t>
  </si>
  <si>
    <t xml:space="preserve">FRESHRICE</t>
  </si>
  <si>
    <t xml:space="preserve">https://www.linkedin.com/in/jinahahn</t>
  </si>
  <si>
    <t xml:space="preserve">Creative Direction and Design</t>
  </si>
  <si>
    <t xml:space="preserve">6/5/2007 - now</t>
  </si>
  <si>
    <t xml:space="preserve">Alesia</t>
  </si>
  <si>
    <t xml:space="preserve">Fisher</t>
  </si>
  <si>
    <t xml:space="preserve">Creative Art Director</t>
  </si>
  <si>
    <t xml:space="preserve">Arkansas Style Show</t>
  </si>
  <si>
    <t xml:space="preserve">https://www.linkedin.com/in/alesia-fisher</t>
  </si>
  <si>
    <t xml:space="preserve">Senior Graphic Designer &amp; Art Director | Broadcast, Retail &amp; Brand Design | Emmy Award Winner</t>
  </si>
  <si>
    <t xml:space="preserve">1/9/2023 - 4/3/2026</t>
  </si>
  <si>
    <t xml:space="preserve">Carlos</t>
  </si>
  <si>
    <t xml:space="preserve">Tourne</t>
  </si>
  <si>
    <t xml:space="preserve">Creative Director | Art Director </t>
  </si>
  <si>
    <t xml:space="preserve">Self-Employed</t>
  </si>
  <si>
    <t xml:space="preserve">myself only</t>
  </si>
  <si>
    <t xml:space="preserve">Dallas-Fort Worth Metroplex, United States</t>
  </si>
  <si>
    <t xml:space="preserve">https://daynadickens.com</t>
  </si>
  <si>
    <t xml:space="preserve">https://www.linkedin.com/in/carlostourne</t>
  </si>
  <si>
    <t xml:space="preserve">https://www.linkedin.com/company/self-employed_1066/</t>
  </si>
  <si>
    <t xml:space="preserve">Creative Director | Art Director | Visual Thinker  Question assumptions. Create meaning. Technology with purpose.</t>
  </si>
  <si>
    <t xml:space="preserve">2/5/2026 - now</t>
  </si>
  <si>
    <t xml:space="preserve">Julia</t>
  </si>
  <si>
    <t xml:space="preserve">Jernigan</t>
  </si>
  <si>
    <t xml:space="preserve">Witmer Group</t>
  </si>
  <si>
    <t xml:space="preserve">https://witmergroup.com</t>
  </si>
  <si>
    <t xml:space="preserve">https://www.linkedin.com/in/juliajgibson</t>
  </si>
  <si>
    <t xml:space="preserve">https://www.linkedin.com/company/witmer-group/</t>
  </si>
  <si>
    <t xml:space="preserve">Branding + Art + Murals + Officiant + Ukulele</t>
  </si>
  <si>
    <t xml:space="preserve">3/1/2011 - now</t>
  </si>
  <si>
    <t xml:space="preserve">Lucas</t>
  </si>
  <si>
    <t xml:space="preserve">Tetrault</t>
  </si>
  <si>
    <t xml:space="preserve">Valve+Meter Performance Marketing</t>
  </si>
  <si>
    <t xml:space="preserve">Muncie, Indiana, United States</t>
  </si>
  <si>
    <t xml:space="preserve">https://valveandmeter.com</t>
  </si>
  <si>
    <t xml:space="preserve">https://www.linkedin.com/in/lucastetrault</t>
  </si>
  <si>
    <t xml:space="preserve">https://www.linkedin.com/company/valve-and-meter-performance-marketing/</t>
  </si>
  <si>
    <t xml:space="preserve">Angie</t>
  </si>
  <si>
    <t xml:space="preserve">Hempel, APR</t>
  </si>
  <si>
    <t xml:space="preserve">Emspace + Lovgren</t>
  </si>
  <si>
    <t xml:space="preserve">Omaha, Nebraska, United States</t>
  </si>
  <si>
    <t xml:space="preserve">https://emspacegroup.com</t>
  </si>
  <si>
    <t xml:space="preserve">https://www.linkedin.com/in/angiehempel</t>
  </si>
  <si>
    <t xml:space="preserve">https://www.linkedin.com/company/emspace-group/</t>
  </si>
  <si>
    <t xml:space="preserve">01/6/2017 - now</t>
  </si>
  <si>
    <t xml:space="preserve">Kristen</t>
  </si>
  <si>
    <t xml:space="preserve">Everett</t>
  </si>
  <si>
    <t xml:space="preserve">Mindpower Inc.</t>
  </si>
  <si>
    <t xml:space="preserve">https://mindpowerinc.com</t>
  </si>
  <si>
    <t xml:space="preserve">https://www.linkedin.com/in/kristen-everett-150b2a30</t>
  </si>
  <si>
    <t xml:space="preserve">https://www.linkedin.com/company/mindpower/</t>
  </si>
  <si>
    <t xml:space="preserve">Creative + Strategy  </t>
  </si>
  <si>
    <t xml:space="preserve">1/5/2014 - now</t>
  </si>
  <si>
    <t xml:space="preserve">Maureen McFee</t>
  </si>
  <si>
    <t xml:space="preserve">Hayden</t>
  </si>
  <si>
    <t xml:space="preserve">Creative Director, Art Director</t>
  </si>
  <si>
    <t xml:space="preserve">Kordami</t>
  </si>
  <si>
    <t xml:space="preserve">https://kordami.com</t>
  </si>
  <si>
    <t xml:space="preserve">https://www.linkedin.com/in/maureenmcfee</t>
  </si>
  <si>
    <t xml:space="preserve">https://www.linkedin.com/company/kordami/</t>
  </si>
  <si>
    <t xml:space="preserve">Creative Director / Art Director / Experience Designer</t>
  </si>
  <si>
    <t xml:space="preserve">Jeff</t>
  </si>
  <si>
    <t xml:space="preserve">Co-Founder &amp; How Can I Help You Marketing Guy</t>
  </si>
  <si>
    <t xml:space="preserve">Switchline Digital</t>
  </si>
  <si>
    <t xml:space="preserve">Atlanta Metropolitan Area</t>
  </si>
  <si>
    <t xml:space="preserve">https://switchlinedigital.com/</t>
  </si>
  <si>
    <t xml:space="preserve">https://www.linkedin.com/in/jeffmasonatl</t>
  </si>
  <si>
    <t xml:space="preserve">https://linkedin.com/company/111038064</t>
  </si>
  <si>
    <t xml:space="preserve">Co-Founder Switchline Digital💡How Can I Help You Marketing Guy 🎙️Off the Rails Podcast Host 💪 Health &amp; Fitness Enthusiast 🎥 Background Actor</t>
  </si>
  <si>
    <t xml:space="preserve">10/01/2025 - Present</t>
  </si>
  <si>
    <t xml:space="preserve">Just engaged with a post written by &lt;a href='https://www.linkedin.com/feed/update/urn:li:activity:7500566617357959168/' target='_blank'&gt;Connor Lesniak&lt;/a&gt;</t>
  </si>
  <si>
    <t xml:space="preserve">"overflow design work"</t>
  </si>
  <si>
    <t xml:space="preserve">Role maps to Founder, location in US aligns, industry matches Advertising Services, and company size is close to ICP bands.</t>
  </si>
  <si>
    <t xml:space="preserve">2026-09-03 15:52</t>
  </si>
  <si>
    <t xml:space="preserve">Italiano</t>
  </si>
  <si>
    <t xml:space="preserve">Snapshot</t>
  </si>
  <si>
    <t xml:space="preserve">Nashville Metropolitan Area, United States</t>
  </si>
  <si>
    <t xml:space="preserve">https://snapshotinteractive.com</t>
  </si>
  <si>
    <t xml:space="preserve">https://www.linkedin.com/in/chrisitaliano</t>
  </si>
  <si>
    <t xml:space="preserve">https://www.linkedin.com/company/snapshot-agency/</t>
  </si>
  <si>
    <t xml:space="preserve">Creative Director | Brand Strategy, Art Direction, Creative Leadership | Building brand and product experiences for agencies and growth teams</t>
  </si>
  <si>
    <t xml:space="preserve">01/6/2023 - now</t>
  </si>
  <si>
    <t xml:space="preserve">Creative Director maps to ICP title and all ICP criteria (location, size, industry) align with the profile.</t>
  </si>
  <si>
    <t xml:space="preserve">Catherine</t>
  </si>
  <si>
    <t xml:space="preserve">Romans</t>
  </si>
  <si>
    <t xml:space="preserve">Weller Media</t>
  </si>
  <si>
    <t xml:space="preserve">Denver Metropolitan Area, United States</t>
  </si>
  <si>
    <t xml:space="preserve">https://wellermedia.co</t>
  </si>
  <si>
    <t xml:space="preserve">https://www.linkedin.com/in/catherine-romans-808b5356/</t>
  </si>
  <si>
    <t xml:space="preserve">https://www.linkedin.com/company/wellermedia/</t>
  </si>
  <si>
    <t xml:space="preserve">Client Success Manager at Weller Media Services</t>
  </si>
  <si>
    <t xml:space="preserve">01/3/2023 - now</t>
  </si>
  <si>
    <t xml:space="preserve">Catherine is a Client Success Manager in US advertising services with 2-10 employees, matching ICP roles and sector.</t>
  </si>
  <si>
    <t xml:space="preserve">2026-09-03 10:00</t>
  </si>
  <si>
    <t xml:space="preserve">Steinberg</t>
  </si>
  <si>
    <t xml:space="preserve">Co-founder &amp; Partner</t>
  </si>
  <si>
    <t xml:space="preserve">KitPrint</t>
  </si>
  <si>
    <t xml:space="preserve">Minneapolis, Minnesota, United States</t>
  </si>
  <si>
    <t xml:space="preserve">https://kitprint.co</t>
  </si>
  <si>
    <t xml:space="preserve">https://www.linkedin.com/in/adam-martin-steinberg</t>
  </si>
  <si>
    <t xml:space="preserve">https://www.linkedin.com/company/kitprint/</t>
  </si>
  <si>
    <t xml:space="preserve">Co-founder @ KitPrint (CPG Production Design) | Shelf Help Pod</t>
  </si>
  <si>
    <t xml:space="preserve">Just engaged with a post written by &lt;a href='https://www.linkedin.com/feed/update/urn:li:activity:7492550324314853376/' target='_blank'&gt;Dave Hopkins&lt;/a&gt;</t>
  </si>
  <si>
    <t xml:space="preserve">Role maps to Founder; industry, location, and company size match ICP.</t>
  </si>
  <si>
    <t xml:space="preserve">Jeffrey</t>
  </si>
  <si>
    <t xml:space="preserve">Bauer</t>
  </si>
  <si>
    <t xml:space="preserve">Principal/Design Director</t>
  </si>
  <si>
    <t xml:space="preserve">Giraffe, Inc.</t>
  </si>
  <si>
    <t xml:space="preserve">https://www.linkedin.com/redir/redirect?url=http://www.giraffesite.com&amp;urlhash=gvU6&amp;trk=public_profile_topcard-website</t>
  </si>
  <si>
    <t xml:space="preserve">https://www.linkedin.com/in/jeffreybauer</t>
  </si>
  <si>
    <t xml:space="preserve">https://www.linkedin.com/company/giraffe-inc-</t>
  </si>
  <si>
    <t xml:space="preserve">Visual &amp; Verbal Thinker • Solves for Possibilities • Strategic &amp; Expressive Communicator • Conventional &amp; Digital Print Production Skilled • P/UX—Print User Experience Designer • Welcoming Personality</t>
  </si>
  <si>
    <t xml:space="preserve">July 1994 - Present</t>
  </si>
  <si>
    <t xml:space="preserve">Role maps to ICP design leadership; industry aligns with Design Services; company size and location match US ICP.</t>
  </si>
  <si>
    <t xml:space="preserve">Bracamontes</t>
  </si>
  <si>
    <t xml:space="preserve">Acumen Studio</t>
  </si>
  <si>
    <t xml:space="preserve">https://acumenstudio.com</t>
  </si>
  <si>
    <t xml:space="preserve">https://www.linkedin.com/in/johnbracamontes</t>
  </si>
  <si>
    <t xml:space="preserve">https://www.linkedin.com/company/acumen-studio/</t>
  </si>
  <si>
    <t xml:space="preserve">My Team &amp; I Help B2B Companies, Printers &amp; Funds Acquire New leads, customers, investors and deals through High ROI Content Marketing</t>
  </si>
  <si>
    <t xml:space="preserve">2/6/2013 - now</t>
  </si>
  <si>
    <t xml:space="preserve">Executive leadership aligns with ICP; location and company size are favorable.</t>
  </si>
  <si>
    <t xml:space="preserve">Stephanie</t>
  </si>
  <si>
    <t xml:space="preserve">Doyle</t>
  </si>
  <si>
    <t xml:space="preserve">Director of Design &amp; Implementation</t>
  </si>
  <si>
    <t xml:space="preserve">HBX Branding</t>
  </si>
  <si>
    <t xml:space="preserve">https://hbxbranding.com</t>
  </si>
  <si>
    <t xml:space="preserve">https://www.linkedin.com/in/stephdoyle</t>
  </si>
  <si>
    <t xml:space="preserve">https://www.linkedin.com/company/hbxbranding/</t>
  </si>
  <si>
    <t xml:space="preserve">Creative leader driving scalable packaging &amp; brand execution for CPG &amp; Pet brands | Director, HBX Branding | Former NCAA D1 Athlete</t>
  </si>
  <si>
    <t xml:space="preserve">1/8/2013 - now</t>
  </si>
  <si>
    <t xml:space="preserve">Director of Design &amp; Implementation maps to ICP design leadership in US marketing/advertising; role aligns with ICP titles.</t>
  </si>
  <si>
    <t xml:space="preserve">Ajay</t>
  </si>
  <si>
    <t xml:space="preserve">Dhesikan</t>
  </si>
  <si>
    <t xml:space="preserve">Daka Labs</t>
  </si>
  <si>
    <t xml:space="preserve">https://www.linkedin.com/redir/redirect?url=http://www.modernwarfare2cc.com&amp;urlhash=ChVi&amp;trk=public_profile_website</t>
  </si>
  <si>
    <t xml:space="preserve">https://www.linkedin.com/in/ajaydhesikan</t>
  </si>
  <si>
    <t xml:space="preserve">https://www.linkedin.com/company/dakalabs</t>
  </si>
  <si>
    <t xml:space="preserve">Founder &amp; Growth Consultant, Daka Labs</t>
  </si>
  <si>
    <t xml:space="preserve">June 2016 - Present</t>
  </si>
  <si>
    <t xml:space="preserve">Just engaged with a post written by &lt;a href='https://www.linkedin.com/feed/update/urn:li:activity:7498386323712507904/' target='_blank'&gt;Heather Heddens&lt;/a&gt;</t>
  </si>
  <si>
    <t xml:space="preserve">Role aligns with ICP as Founder/CEO; location, industry, and company size match US marketing services ICP.</t>
  </si>
  <si>
    <t xml:space="preserve">Elizabeth</t>
  </si>
  <si>
    <t xml:space="preserve">Mercer</t>
  </si>
  <si>
    <t xml:space="preserve">Owner</t>
  </si>
  <si>
    <t xml:space="preserve">mercer INTERIOR</t>
  </si>
  <si>
    <t xml:space="preserve">Warwick, New York, United States</t>
  </si>
  <si>
    <t xml:space="preserve">https://www.linkedin.com/redir/redirect?url=http://www.mercerinterior.com&amp;urlhash=Ef05&amp;trk=public_profile_topcard-website</t>
  </si>
  <si>
    <t xml:space="preserve">https://www.linkedin.com/in/elizabeth-mercer-178390b/</t>
  </si>
  <si>
    <t xml:space="preserve">https://www.linkedin.com/company/mercer-interior</t>
  </si>
  <si>
    <t xml:space="preserve">Owner, mercer INTERIOR</t>
  </si>
  <si>
    <t xml:space="preserve">2006 - Present</t>
  </si>
  <si>
    <t xml:space="preserve">Just engaged with a &lt;a href='https://www.linkedin.com/feed/update/urn:li:activity:7499060069590962176/' target='_blank'&gt;LinkedIn post&lt;/a&gt;</t>
  </si>
  <si>
    <t xml:space="preserve">Founder/Owner maps to ICP Founder; industry matches Design Services; location matches US; company size near ICP band.</t>
  </si>
  <si>
    <t xml:space="preserve">2026-09-02 21:42</t>
  </si>
  <si>
    <t xml:space="preserve">nicole</t>
  </si>
  <si>
    <t xml:space="preserve">blauw</t>
  </si>
  <si>
    <t xml:space="preserve">Freelance Copywriter / Art Director / Creative Director</t>
  </si>
  <si>
    <t xml:space="preserve">https://www.linkedin.com/in/nblauw</t>
  </si>
  <si>
    <t xml:space="preserve">freelance copywriter / art director / creative w+k portland alum</t>
  </si>
  <si>
    <t xml:space="preserve">6/3/2022 - now</t>
  </si>
  <si>
    <t xml:space="preserve">2026-09-01 19:23</t>
  </si>
  <si>
    <t xml:space="preserve">Previously exported (Amanda Scott, 2026-09-02)</t>
  </si>
  <si>
    <t xml:space="preserve">Cerra</t>
  </si>
  <si>
    <t xml:space="preserve">Buckholz</t>
  </si>
  <si>
    <t xml:space="preserve">Richmond, Virginia, United States</t>
  </si>
  <si>
    <t xml:space="preserve">https://www.linkedin.com/in/cerra</t>
  </si>
  <si>
    <t xml:space="preserve">Creative Director • Art Director • Nerd</t>
  </si>
  <si>
    <t xml:space="preserve">6/8/2023 - now</t>
  </si>
  <si>
    <t xml:space="preserve">Previously exported (Whitney Cole, 2026-09-02)</t>
  </si>
  <si>
    <t xml:space="preserve">Hope</t>
  </si>
  <si>
    <t xml:space="preserve">Freelance Art Director/Creative Director</t>
  </si>
  <si>
    <t xml:space="preserve">https://www.linkedin.com/in/hopejordan</t>
  </si>
  <si>
    <t xml:space="preserve">Freelance Art Director/CD | WKNY, Droga5 alum</t>
  </si>
  <si>
    <t xml:space="preserve">5/1/2024 - now</t>
  </si>
  <si>
    <t xml:space="preserve">Jesse</t>
  </si>
  <si>
    <t xml:space="preserve">Stuckey</t>
  </si>
  <si>
    <t xml:space="preserve">Art Director &amp; Creative Strategist</t>
  </si>
  <si>
    <t xml:space="preserve">East Greenwich, Rhode Island, United States</t>
  </si>
  <si>
    <t xml:space="preserve">https://www.linkedin.com/in/jessestuckey</t>
  </si>
  <si>
    <t xml:space="preserve">Art Director &amp; Creative Strategist | Integrated Campaigns, Brand World-Building &amp; Visual Storytelling | Miami Ad School Creative Career Kickstart Graduate &amp; Guest Speaker</t>
  </si>
  <si>
    <t xml:space="preserve">Naoki</t>
  </si>
  <si>
    <t xml:space="preserve">Ga</t>
  </si>
  <si>
    <t xml:space="preserve">Senior Creative / Art Director</t>
  </si>
  <si>
    <t xml:space="preserve">https://www.linkedin.com/in/naoki-ga-39372817</t>
  </si>
  <si>
    <t xml:space="preserve">Freelance Creative // EMMY’S - WINNER GRAND PRIX - CANNES // AdAge Creative of the Year finalist 2022 // Featured in AdAge AAPI Creative Excellence // The Creative 100 (ADWeek 2025)</t>
  </si>
  <si>
    <t xml:space="preserve">1/1/2026 - now</t>
  </si>
  <si>
    <t xml:space="preserve">Morse</t>
  </si>
  <si>
    <t xml:space="preserve">Creative Director, Art Director, Designer</t>
  </si>
  <si>
    <t xml:space="preserve">Nicole Morse Design</t>
  </si>
  <si>
    <t xml:space="preserve">Greater Orlando, United States</t>
  </si>
  <si>
    <t xml:space="preserve">https://www.linkedin.com/in/nmorse</t>
  </si>
  <si>
    <t xml:space="preserve">fractional creative director + senior brand designer</t>
  </si>
  <si>
    <t xml:space="preserve">Melissa</t>
  </si>
  <si>
    <t xml:space="preserve">Tresidder</t>
  </si>
  <si>
    <t xml:space="preserve">Freelance Creative Director/Art Director</t>
  </si>
  <si>
    <t xml:space="preserve">MelissaTresidder.com</t>
  </si>
  <si>
    <t xml:space="preserve">https://www.linkedin.com/in/melissa-tresidder</t>
  </si>
  <si>
    <t xml:space="preserve">Freelance Creative Director/Art Director/Idea Generator</t>
  </si>
  <si>
    <t xml:space="preserve">3/9/2024 - now</t>
  </si>
  <si>
    <t xml:space="preserve">Laz</t>
  </si>
  <si>
    <t xml:space="preserve">Arencibia</t>
  </si>
  <si>
    <t xml:space="preserve">President / Managing-Creative Director</t>
  </si>
  <si>
    <t xml:space="preserve">Treviso KBF</t>
  </si>
  <si>
    <t xml:space="preserve">Miami-Fort Lauderdale Area, United States</t>
  </si>
  <si>
    <t xml:space="preserve">https://www.linkedin.com/in/laazararencibia</t>
  </si>
  <si>
    <t xml:space="preserve">President / Managing - Creative Director @ Treviso KBF | Luxury Case Goods</t>
  </si>
  <si>
    <t xml:space="preserve">01/10/2008 - now</t>
  </si>
  <si>
    <t xml:space="preserve">Vinny</t>
  </si>
  <si>
    <t xml:space="preserve">Tulley</t>
  </si>
  <si>
    <t xml:space="preserve">Creative Director / Copywriter / Art Director</t>
  </si>
  <si>
    <t xml:space="preserve">Vinny Tulley Advertising</t>
  </si>
  <si>
    <t xml:space="preserve">https://www.linkedin.com/in/vinny-tulley-84b27a90</t>
  </si>
  <si>
    <t xml:space="preserve">6/01/2016 - now</t>
  </si>
  <si>
    <t xml:space="preserve">Benson</t>
  </si>
  <si>
    <t xml:space="preserve">Creative Director/Art Director/Writer</t>
  </si>
  <si>
    <t xml:space="preserve">Freelance - multiple agencies</t>
  </si>
  <si>
    <t xml:space="preserve">Ventura, California, United States</t>
  </si>
  <si>
    <t xml:space="preserve">https://www.linkedin.com/in/johnbensoncreativedirector</t>
  </si>
  <si>
    <t xml:space="preserve">Creative Director / Director / Art Director </t>
  </si>
  <si>
    <t xml:space="preserve">2/9/2001 - now</t>
  </si>
  <si>
    <t xml:space="preserve">Bryan</t>
  </si>
  <si>
    <t xml:space="preserve">Houlette</t>
  </si>
  <si>
    <t xml:space="preserve">Independent Creative Director / Art Director</t>
  </si>
  <si>
    <t xml:space="preserve">Hey There, LLC</t>
  </si>
  <si>
    <t xml:space="preserve">https://bryanhoulette.com</t>
  </si>
  <si>
    <t xml:space="preserve">https://www.linkedin.com/in/bryanhoulette</t>
  </si>
  <si>
    <t xml:space="preserve">https://www.linkedin.com/company/hey-there-llc/</t>
  </si>
  <si>
    <t xml:space="preserve">(Available) Freelance Creative Director / Art Director / Human</t>
  </si>
  <si>
    <t xml:space="preserve">Tonianne</t>
  </si>
  <si>
    <t xml:space="preserve">T.</t>
  </si>
  <si>
    <t xml:space="preserve">Freelance Creative &amp; Art Director</t>
  </si>
  <si>
    <t xml:space="preserve">https://www.linkedin.com/in/toniannetartaro</t>
  </si>
  <si>
    <t xml:space="preserve">Creative Director &amp; Brand Builder | Prev: VP of Design, RCA Records | 4x CLIO Winner | Open to New Opportunities</t>
  </si>
  <si>
    <t xml:space="preserve">6/7/2025 - now</t>
  </si>
  <si>
    <t xml:space="preserve">J. Blake</t>
  </si>
  <si>
    <t xml:space="preserve">Art/Creative Director</t>
  </si>
  <si>
    <t xml:space="preserve">https://www.linkedin.com/in/jblakeharris</t>
  </si>
  <si>
    <t xml:space="preserve">Artist, illustrator, designer/developer in DTX. Exiled ad agency creative director.</t>
  </si>
  <si>
    <t xml:space="preserve">2/3/2024 - now</t>
  </si>
  <si>
    <t xml:space="preserve">Roger</t>
  </si>
  <si>
    <t xml:space="preserve">Norris</t>
  </si>
  <si>
    <t xml:space="preserve">Freelance Creative Director | Art</t>
  </si>
  <si>
    <t xml:space="preserve">rogernorris.com</t>
  </si>
  <si>
    <t xml:space="preserve">https://www.linkedin.com/in/roger-norris-a47b27</t>
  </si>
  <si>
    <t xml:space="preserve">Petrosky (Barwick)</t>
  </si>
  <si>
    <t xml:space="preserve">Freelance Creative/Art Director</t>
  </si>
  <si>
    <t xml:space="preserve">https://www.linkedin.com/in/christine-petrosky</t>
  </si>
  <si>
    <t xml:space="preserve">Freelance Creative Director &amp; Art Director</t>
  </si>
  <si>
    <t xml:space="preserve">5/7/2024 - now</t>
  </si>
  <si>
    <t xml:space="preserve">Jon</t>
  </si>
  <si>
    <t xml:space="preserve">Vall</t>
  </si>
  <si>
    <t xml:space="preserve">Freelance Creative Director, Art Director.</t>
  </si>
  <si>
    <t xml:space="preserve">https://www.linkedin.com/in/jonvall</t>
  </si>
  <si>
    <t xml:space="preserve">Freelance Creative Director, Art.</t>
  </si>
  <si>
    <t xml:space="preserve">4/1/2023 - now</t>
  </si>
  <si>
    <t xml:space="preserve">Jae</t>
  </si>
  <si>
    <t xml:space="preserve">Who</t>
  </si>
  <si>
    <t xml:space="preserve">Freelance Creative Director (Art)</t>
  </si>
  <si>
    <t xml:space="preserve">https://www.linkedin.com/in/jaewho</t>
  </si>
  <si>
    <t xml:space="preserve">Freelance Creative Director (Art)  -  jaewho.com</t>
  </si>
  <si>
    <t xml:space="preserve">Scherdell</t>
  </si>
  <si>
    <t xml:space="preserve">Managing Creative Director</t>
  </si>
  <si>
    <t xml:space="preserve">Fuseideas</t>
  </si>
  <si>
    <t xml:space="preserve">Greater Boston, United States</t>
  </si>
  <si>
    <t xml:space="preserve">https://fuseideas.com</t>
  </si>
  <si>
    <t xml:space="preserve">https://www.linkedin.com/in/jeff-scherdell-19895638</t>
  </si>
  <si>
    <t xml:space="preserve">https://www.linkedin.com/company/fuseideas/</t>
  </si>
  <si>
    <t xml:space="preserve">Creative/Art Director</t>
  </si>
  <si>
    <t xml:space="preserve">1/1/2015 - now</t>
  </si>
  <si>
    <t xml:space="preserve">Osborne</t>
  </si>
  <si>
    <t xml:space="preserve">Director, Art &amp; Creative Services</t>
  </si>
  <si>
    <t xml:space="preserve">HMT Associates, Inc.</t>
  </si>
  <si>
    <t xml:space="preserve">Cleveland, Ohio, United States</t>
  </si>
  <si>
    <t xml:space="preserve">https://hmtassociates.com</t>
  </si>
  <si>
    <t xml:space="preserve">https://www.linkedin.com/in/melissamccarthyosborne</t>
  </si>
  <si>
    <t xml:space="preserve">https://www.linkedin.com/company/hmt-associates-inc./</t>
  </si>
  <si>
    <t xml:space="preserve">Director, Art &amp; Creative Services at HMT Associates, Inc.</t>
  </si>
  <si>
    <t xml:space="preserve">Thomas</t>
  </si>
  <si>
    <t xml:space="preserve">Denby</t>
  </si>
  <si>
    <t xml:space="preserve">Creative Director | Sr. Art Director</t>
  </si>
  <si>
    <t xml:space="preserve">Nemoi Advertising and Design LLC</t>
  </si>
  <si>
    <t xml:space="preserve">Glenolden, Pennsylvania, United States</t>
  </si>
  <si>
    <t xml:space="preserve">https://www.thomasdenbyportfolio.com/</t>
  </si>
  <si>
    <t xml:space="preserve">https://www.linkedin.com/in/thomas-denby-b958505</t>
  </si>
  <si>
    <t xml:space="preserve">https://linkedin.com/company/79102707</t>
  </si>
  <si>
    <t xml:space="preserve">Sr. Art Director</t>
  </si>
  <si>
    <t xml:space="preserve">02/01/2019 - Present</t>
  </si>
  <si>
    <t xml:space="preserve">Linder</t>
  </si>
  <si>
    <t xml:space="preserve">Founder, Creative Director - Art</t>
  </si>
  <si>
    <t xml:space="preserve">this will be good</t>
  </si>
  <si>
    <t xml:space="preserve">http://www.lindersportfolio.com</t>
  </si>
  <si>
    <t xml:space="preserve">https://www.linkedin.com/in/brian-linder-9425063</t>
  </si>
  <si>
    <t xml:space="preserve">https://linkedin.com/company/111514233</t>
  </si>
  <si>
    <t xml:space="preserve">Founder, this will be good / Creative Director / Art Director / Graphic Designer / Writer / Creator / AI Filmmaker / Human Songwriter</t>
  </si>
  <si>
    <t xml:space="preserve">01/01/2026 - Present</t>
  </si>
  <si>
    <t xml:space="preserve">Walters</t>
  </si>
  <si>
    <t xml:space="preserve">Founder, Creative Director, Brand Strategist</t>
  </si>
  <si>
    <t xml:space="preserve">DOOR 369</t>
  </si>
  <si>
    <t xml:space="preserve">https://www.linkedin.com/redir/redirect?url=www.door369.com.com&amp;urlhash=XgoL&amp;trk=public_profile_website</t>
  </si>
  <si>
    <t xml:space="preserve">https://www.linkedin.com/in/victoria-walters-888a95166/</t>
  </si>
  <si>
    <t xml:space="preserve">https://www.linkedin.com/company/door-369</t>
  </si>
  <si>
    <t xml:space="preserve">BRANDING STRATEGIST &amp; CREATIVE DIRECTOR - Decoding market complexities to elevate upscale brands and drive premium positioning. ꜰᴏʀ ᴜʟᴛʀᴀ ᴇxᴄʟᴜꜱɪᴠᴇ ʀᴇᴛʀᴇᴀᴛꜱ ᴀɴᴅ ᴇxᴘᴇʀɪᴇɴᴄᴇꜱ ɪɴ ᴊᴀᴘᴀɴ - ᴠɪꜱɪᴛ ᴛʜᴇꜰᴏᴜʀɢᴏᴅꜱ.ᴄᴏᴍ</t>
  </si>
  <si>
    <t xml:space="preserve">Just engaged with an &lt;a href='https://www.linkedin.com/posts/thechrisdo_its-no-secret-im-not-a-big-fan-of-panel-activity-7492312941019484160-GBej?utm_source=social_share_send&amp;utm_medium=member_desktop_web&amp;rcm=ACoAAGjc0LQB1ezUSCyF13hVAL_cGO1dt9U9KXg' target='_blank'&gt;industry expert&lt;/a&gt;</t>
  </si>
  <si>
    <t xml:space="preserve">Role aligns to ICP titles; industry fit with Design Services; US location; close company size.</t>
  </si>
  <si>
    <t xml:space="preserve">2026-09-01 09:50</t>
  </si>
  <si>
    <t xml:space="preserve">👁️‍🗨️</t>
  </si>
  <si>
    <t xml:space="preserve">Shai Newaz</t>
  </si>
  <si>
    <t xml:space="preserve">Shai Creates</t>
  </si>
  <si>
    <t xml:space="preserve">Chelan, Washington, United States</t>
  </si>
  <si>
    <t xml:space="preserve">https://www.shaicreates.com</t>
  </si>
  <si>
    <t xml:space="preserve">https://www.linkedin.com/in/shaimoom</t>
  </si>
  <si>
    <t xml:space="preserve">https://linkedin.com/company/42301540</t>
  </si>
  <si>
    <t xml:space="preserve">Artist • Addict • Activist → Designing brands that restore kindness, heal the earth, and expose greed.</t>
  </si>
  <si>
    <t xml:space="preserve">01/01/2020 - Present</t>
  </si>
  <si>
    <t xml:space="preserve">Just engaged with the industry expert &lt;a href='https://www.linkedin.com/posts/thechrisdo_its-no-secret-im-not-a-big-fan-of-panel-activity-7492312941019484160-GBej?utm_source=social_share_send&amp;utm_medium=member_desktop_web&amp;rcm=ACoAAGjc0LQB1ezUSCyF13hVAL_cGO1dt9U9KXg' target='_blank'&gt;Chris Do&lt;/a&gt;</t>
  </si>
  <si>
    <t xml:space="preserve">CEO-level role matches ICP; industry, location, and size fully align.</t>
  </si>
  <si>
    <t xml:space="preserve">Ari</t>
  </si>
  <si>
    <t xml:space="preserve">Krzyzek</t>
  </si>
  <si>
    <t xml:space="preserve">CEO &amp; Head of Strategy</t>
  </si>
  <si>
    <t xml:space="preserve">Chykalophia</t>
  </si>
  <si>
    <t xml:space="preserve">Evanston, Illinois, United States</t>
  </si>
  <si>
    <t xml:space="preserve">https://chykalophia.com</t>
  </si>
  <si>
    <t xml:space="preserve">https://www.linkedin.com/in/arichykalophia</t>
  </si>
  <si>
    <t xml:space="preserve">https://www.linkedin.com/company/cklph/</t>
  </si>
  <si>
    <t xml:space="preserve">fCMO / Brand &amp; Web Strategist | Transform B2B websites into revenue engines | Supported 250+ brands | Speaker &amp; Bestselling Author | US Top 100 Business | WBENC Certified</t>
  </si>
  <si>
    <t xml:space="preserve">3/8/2009 - now</t>
  </si>
  <si>
    <t xml:space="preserve">Executive-level title maps to ICP CEO/Founder; location and size align with US marketing/design services profile.</t>
  </si>
  <si>
    <t xml:space="preserve">Robyn</t>
  </si>
  <si>
    <t xml:space="preserve">Nissim</t>
  </si>
  <si>
    <t xml:space="preserve">Founder &amp; Facilitator of Social Proof Group Training Programs</t>
  </si>
  <si>
    <t xml:space="preserve">Social Proof Agency</t>
  </si>
  <si>
    <t xml:space="preserve">http://robynnissim.com/</t>
  </si>
  <si>
    <t xml:space="preserve">https://www.linkedin.com/in/rnissim</t>
  </si>
  <si>
    <t xml:space="preserve">https://linkedin.com/company/90455973</t>
  </si>
  <si>
    <t xml:space="preserve">Creating Revenue Streams from Social Media + Influencer Marketing 📲 I’ve built the largest brands on Social Media &amp; now I’m teaching you how to 🧨💥🚀</t>
  </si>
  <si>
    <t xml:space="preserve">07/01/2024 - Present</t>
  </si>
  <si>
    <t xml:space="preserve">Just engaged with the industry expert &lt;a href='https://www.linkedin.com/posts/daniel-murray-marketing_happy-wednesday-activity-7495850261509304320-IKTx?utm_source=social_share_send&amp;utm_medium=member_desktop_web&amp;rcm=ACoAAGyd384BCQerCkBF7siLg5w7M5v7_pUynt4' target='_blank'&gt;Daniel Murray&lt;/a&gt;</t>
  </si>
  <si>
    <t xml:space="preserve">Founder role fits ICP; industry/location/size aligned to ICP.</t>
  </si>
  <si>
    <t xml:space="preserve">2026-08-31 09:52</t>
  </si>
  <si>
    <t xml:space="preserve">Kam</t>
  </si>
  <si>
    <t xml:space="preserve">Hossieny</t>
  </si>
  <si>
    <t xml:space="preserve">Co-Founder &amp; Chief Operating Officer</t>
  </si>
  <si>
    <t xml:space="preserve">Solvexmedia</t>
  </si>
  <si>
    <t xml:space="preserve">Beverly Hills, California, United States</t>
  </si>
  <si>
    <t xml:space="preserve">https://www.linkedin.com/in/kam-hossieny</t>
  </si>
  <si>
    <t xml:space="preserve">https://linkedin.com/company/90565716</t>
  </si>
  <si>
    <t xml:space="preserve">High Converting Landing Pages &amp; CRO To Make Your Bank Account Dance Without Spending More On Ads 🕺🏼</t>
  </si>
  <si>
    <t xml:space="preserve">12/01/2021 - Present</t>
  </si>
  <si>
    <t xml:space="preserve">Just engaged with the industry expert &lt;a href='https://www.linkedin.com/posts/daniel-murray-marketing_nobody-believes-adjectives-anymore-premium-activity-7478087849314230272-oglM?utm_source=social_share_send&amp;utm_medium=member_desktop_web&amp;rcm=ACoAAGyd384BCQerCkBF7siLg5w7M5v7_pUynt4' target='_blank'&gt;Daniel Murray&lt;/a&gt;</t>
  </si>
  <si>
    <t xml:space="preserve">Co-Founder role maps to Founder; location/industry align with the ICP.</t>
  </si>
  <si>
    <t xml:space="preserve">2026-08-31 09:51</t>
  </si>
  <si>
    <t xml:space="preserve">Jesus Argenis</t>
  </si>
  <si>
    <t xml:space="preserve">Alfonzo, MBA</t>
  </si>
  <si>
    <t xml:space="preserve">American Information Technology Artificial Intelligence Leadership</t>
  </si>
  <si>
    <t xml:space="preserve">https://www.linkedin.com/in/jesus-argenis-alfonzo-innovation-management-technology-creativity-future-futurism/</t>
  </si>
  <si>
    <t xml:space="preserve">https://www.linkedin.com/company/american-information-technology-artificial-intelligence-leadership</t>
  </si>
  <si>
    <t xml:space="preserve">1, 268 followers</t>
  </si>
  <si>
    <t xml:space="preserve">Just engaged with a &lt;a href='https://www.linkedin.com/feed/update/urn:li:activity:7496883876808568832/' target='_blank'&gt;LinkedIn post&lt;/a&gt;</t>
  </si>
  <si>
    <t xml:space="preserve">Founder role aligns with ICP; size and location fit; industry is adjacent.</t>
  </si>
  <si>
    <t xml:space="preserve">2026-08-31 03:52</t>
  </si>
  <si>
    <t xml:space="preserve">Ojas</t>
  </si>
  <si>
    <t xml:space="preserve">After Hours Digital Agency</t>
  </si>
  <si>
    <t xml:space="preserve">Culver City, California, United States</t>
  </si>
  <si>
    <t xml:space="preserve">https://afterhoursdigital.agency</t>
  </si>
  <si>
    <t xml:space="preserve">https://www.linkedin.com/in/ojasdevanathan/</t>
  </si>
  <si>
    <t xml:space="preserve">https://www.linkedin.com/company/after-hours-digital-agency/</t>
  </si>
  <si>
    <t xml:space="preserve">Growth &amp; Paid Media Marketer | Performance Creative Strategist | Founder, After Hours Digital</t>
  </si>
  <si>
    <t xml:space="preserve">Just engaged with a &lt;a href='https://www.linkedin.com/feed/update/urn:li:activity:7498386323712507904/' target='_blank'&gt;LinkedIn post&lt;/a&gt;</t>
  </si>
  <si>
    <t xml:space="preserve">Founder at a US-based Advertising Services agency aligns with the ICP.</t>
  </si>
  <si>
    <t xml:space="preserve">Chung</t>
  </si>
  <si>
    <t xml:space="preserve">Founder &amp; Managing Operator</t>
  </si>
  <si>
    <t xml:space="preserve">Middle Out</t>
  </si>
  <si>
    <t xml:space="preserve">https://gomiddleout.com</t>
  </si>
  <si>
    <t xml:space="preserve">https://www.linkedin.com/in/thebrianchung/</t>
  </si>
  <si>
    <t xml:space="preserve">https://www.linkedin.com/company/gomiddleout/</t>
  </si>
  <si>
    <t xml:space="preserve">Growth strategy and content for consumer brands @ Middle Out | Boutique team for GTM and 9 figure DTC brands</t>
  </si>
  <si>
    <t xml:space="preserve">Role aligns with ICP founder; industry and US location fit; company size near ICP range.</t>
  </si>
  <si>
    <t xml:space="preserve">Muhammad</t>
  </si>
  <si>
    <t xml:space="preserve">Zohaib</t>
  </si>
  <si>
    <t xml:space="preserve">Zohaib Dzin</t>
  </si>
  <si>
    <t xml:space="preserve">https://zohaibdzin.com</t>
  </si>
  <si>
    <t xml:space="preserve">https://www.linkedin.com/in/zohaibdzin/</t>
  </si>
  <si>
    <t xml:space="preserve">https://www.linkedin.com/company/zohaibdzin/</t>
  </si>
  <si>
    <t xml:space="preserve">Founder &amp; CEO at Stop The Agency &amp; Zohaib Dzin | Business Strategy, Branding, Marketing &amp; Digital Growth | Creative Strategy</t>
  </si>
  <si>
    <t xml:space="preserve">4/9/2025 - now</t>
  </si>
  <si>
    <t xml:space="preserve">Founder in Design Services within the US aligns with ICP core roles and location.</t>
  </si>
  <si>
    <t xml:space="preserve">2026-08-30 21:39</t>
  </si>
  <si>
    <t xml:space="preserve">Cindy</t>
  </si>
  <si>
    <t xml:space="preserve">Rosenshein</t>
  </si>
  <si>
    <t xml:space="preserve">Senior Director, Client Relationships</t>
  </si>
  <si>
    <t xml:space="preserve">Pearlfisher</t>
  </si>
  <si>
    <t xml:space="preserve">https://www.linkedin.com/in/cindy-rosenshein-4b72ba8/</t>
  </si>
  <si>
    <t xml:space="preserve">https://www.linkedin.com/company/pearlfisher</t>
  </si>
  <si>
    <t xml:space="preserve">Senior Leader in Creative Operations &amp; Strategic Partnerships | Educator &amp; Mentor | Mission-Driven Organizations</t>
  </si>
  <si>
    <t xml:space="preserve">Just engaged with a &lt;a href='https://www.linkedin.com/feed/update/urn:li:activity:7498104044671070208/' target='_blank'&gt;LinkedIn post&lt;/a&gt;</t>
  </si>
  <si>
    <t xml:space="preserve">Role aligns with Director-level Client Services/Creative leadership; industry fit is strong; location matches USA; company size is adjacent but slightly larger than ICP.</t>
  </si>
  <si>
    <t xml:space="preserve">Evans</t>
  </si>
  <si>
    <t xml:space="preserve">Freelance Creative Director - Art</t>
  </si>
  <si>
    <t xml:space="preserve">https://www.linkedin.com/in/melissa-evans-912a949</t>
  </si>
  <si>
    <t xml:space="preserve">Creative Art Lead in Pharmaceutical Advertising | Problem Solver | Detailed | Mentor | 20+ years Experience | Creative Director | Building Brands &amp; Inspiring Teams | Client Trusted</t>
  </si>
  <si>
    <t xml:space="preserve">2026-08-30 18:35</t>
  </si>
  <si>
    <t xml:space="preserve">Kellie</t>
  </si>
  <si>
    <t xml:space="preserve">Kalvig</t>
  </si>
  <si>
    <t xml:space="preserve">Creative Director | Associate Creative Director | Art Director</t>
  </si>
  <si>
    <t xml:space="preserve">Various Agencies &amp; Direct Clients</t>
  </si>
  <si>
    <t xml:space="preserve">https://www.linkedin.com/in/kelliekalvig</t>
  </si>
  <si>
    <t xml:space="preserve">Creative Director | Art Director</t>
  </si>
  <si>
    <t xml:space="preserve">1/10/2009 - now</t>
  </si>
  <si>
    <t xml:space="preserve">Shane</t>
  </si>
  <si>
    <t xml:space="preserve">Diiullo</t>
  </si>
  <si>
    <t xml:space="preserve">Design/Art Director/Creative Director </t>
  </si>
  <si>
    <t xml:space="preserve">https://www.theshanediiullo.com/</t>
  </si>
  <si>
    <t xml:space="preserve">https://www.linkedin.com/in/shane-diiullo-33039a6</t>
  </si>
  <si>
    <t xml:space="preserve">Designer/Art Director/Creative Director</t>
  </si>
  <si>
    <t xml:space="preserve">Nate</t>
  </si>
  <si>
    <t xml:space="preserve">Naylor</t>
  </si>
  <si>
    <t xml:space="preserve">Creative Director / Art Director / Designer</t>
  </si>
  <si>
    <t xml:space="preserve">FARMER CREATIVE &amp; DESIGN</t>
  </si>
  <si>
    <t xml:space="preserve">https://farmer.design</t>
  </si>
  <si>
    <t xml:space="preserve">https://www.linkedin.com/in/nathannaylor</t>
  </si>
  <si>
    <t xml:space="preserve">https://www.linkedin.com/company/farmercreativeanddesign/</t>
  </si>
  <si>
    <t xml:space="preserve">Founder / Creative Director / Designer</t>
  </si>
  <si>
    <t xml:space="preserve">2/11/2025 - now</t>
  </si>
  <si>
    <t xml:space="preserve">Erin</t>
  </si>
  <si>
    <t xml:space="preserve">Fort Worth, Texas, United States</t>
  </si>
  <si>
    <t xml:space="preserve">https://www.linkedin.com/in/erin-sanders-57569b31</t>
  </si>
  <si>
    <t xml:space="preserve">Freelance Brand, Creative, UX &amp; UI Specialist</t>
  </si>
  <si>
    <t xml:space="preserve">01/5/2024 - now</t>
  </si>
  <si>
    <t xml:space="preserve">Marc</t>
  </si>
  <si>
    <t xml:space="preserve">Mintle</t>
  </si>
  <si>
    <t xml:space="preserve">Mintle Asylum Studio</t>
  </si>
  <si>
    <t xml:space="preserve">https://www.linkedin.com/in/mintlecreative</t>
  </si>
  <si>
    <t xml:space="preserve">Creative solutions that elevate brands</t>
  </si>
  <si>
    <t xml:space="preserve">4/4/2019 - now</t>
  </si>
  <si>
    <t xml:space="preserve">Gianna</t>
  </si>
  <si>
    <t xml:space="preserve">D'Amico</t>
  </si>
  <si>
    <t xml:space="preserve">Freelance Creative Director / Art Director </t>
  </si>
  <si>
    <t xml:space="preserve">https://www.linkedin.com/in/giannadamicodesigner</t>
  </si>
  <si>
    <t xml:space="preserve">5/11/2022 - now</t>
  </si>
  <si>
    <t xml:space="preserve">Tiff</t>
  </si>
  <si>
    <t xml:space="preserve">McKee</t>
  </si>
  <si>
    <t xml:space="preserve">https://www.linkedin.com/in/tiffmckee</t>
  </si>
  <si>
    <t xml:space="preserve">🧠 Freelance Sr Creative/CD/AD/Scrappy Problem Solver/List Maker/Karaoke Partaker/TMI-er</t>
  </si>
  <si>
    <t xml:space="preserve">Woeste</t>
  </si>
  <si>
    <t xml:space="preserve">Senior Creative + Art Director</t>
  </si>
  <si>
    <t xml:space="preserve">Maximum Real Estate Marketing + Consulting</t>
  </si>
  <si>
    <t xml:space="preserve">Wilmington, North Carolina, United States</t>
  </si>
  <si>
    <t xml:space="preserve">https://maximumdesign.com</t>
  </si>
  <si>
    <t xml:space="preserve">https://www.linkedin.com/in/danielle-woeste-408229177</t>
  </si>
  <si>
    <t xml:space="preserve">https://www.linkedin.com/company/maximum-design/</t>
  </si>
  <si>
    <t xml:space="preserve">Senior Creative + Art Director | Brand &amp; Design Strategist | Storytelling Through Design</t>
  </si>
  <si>
    <t xml:space="preserve">4/3/2026 - now</t>
  </si>
  <si>
    <t xml:space="preserve">Reuben</t>
  </si>
  <si>
    <t xml:space="preserve">Orter</t>
  </si>
  <si>
    <t xml:space="preserve">Creative Director/Art Director</t>
  </si>
  <si>
    <t xml:space="preserve">Freelance</t>
  </si>
  <si>
    <t xml:space="preserve">https://www.linkedin.com/in/reubenorter</t>
  </si>
  <si>
    <t xml:space="preserve">2/01/2018 - now</t>
  </si>
  <si>
    <t xml:space="preserve">Marco</t>
  </si>
  <si>
    <t xml:space="preserve">Howell</t>
  </si>
  <si>
    <t xml:space="preserve">https://www.linkedin.com/in/marco-l-howell</t>
  </si>
  <si>
    <t xml:space="preserve">Freelance Creative Director | Art Director</t>
  </si>
  <si>
    <t xml:space="preserve">Nei</t>
  </si>
  <si>
    <t xml:space="preserve">Caetano da Silva</t>
  </si>
  <si>
    <t xml:space="preserve">Creative Director / Art Director </t>
  </si>
  <si>
    <t xml:space="preserve">https://www.linkedin.com/in/neicaetano</t>
  </si>
  <si>
    <t xml:space="preserve">CREATIVE DIRECTOR / ART - CONCEPTUAL &amp; MAKER</t>
  </si>
  <si>
    <t xml:space="preserve">1/10/2015 - 4/01/2025</t>
  </si>
  <si>
    <t xml:space="preserve">Jezabel</t>
  </si>
  <si>
    <t xml:space="preserve">González Padrón</t>
  </si>
  <si>
    <t xml:space="preserve">Independent Creative - Art - Director</t>
  </si>
  <si>
    <t xml:space="preserve">https://www.linkedin.com/in/jezabel-gonzalez</t>
  </si>
  <si>
    <t xml:space="preserve">ACD / Art Director</t>
  </si>
  <si>
    <t xml:space="preserve">Nelson</t>
  </si>
  <si>
    <t xml:space="preserve">https://www.linkedin.com/in/seenelson</t>
  </si>
  <si>
    <t xml:space="preserve">Creative Director and Art Director building award-winning, craft-driven campaigns across social media, advertising, content creation, and digital marketing with proven team leadership.</t>
  </si>
  <si>
    <t xml:space="preserve">https://www.linkedin.com/in/theoriginalmc</t>
  </si>
  <si>
    <t xml:space="preserve">Freelance Creative Director, formerly a barnacle on the underside of W+K</t>
  </si>
  <si>
    <t xml:space="preserve">Rene</t>
  </si>
  <si>
    <t xml:space="preserve">San Diego Metropolitan Area, United States</t>
  </si>
  <si>
    <t xml:space="preserve">https://www.linkedin.com/in/rene-w-61a96a138</t>
  </si>
  <si>
    <t xml:space="preserve">Creative director and multidisciplinary designer</t>
  </si>
  <si>
    <t xml:space="preserve">01/4/2021 - 6/7/2025</t>
  </si>
  <si>
    <t xml:space="preserve">Luis</t>
  </si>
  <si>
    <t xml:space="preserve">Gonzalez</t>
  </si>
  <si>
    <t xml:space="preserve">Associate Creative Director (Art)</t>
  </si>
  <si>
    <t xml:space="preserve">SmithGifford</t>
  </si>
  <si>
    <t xml:space="preserve">https://smithgifford.com</t>
  </si>
  <si>
    <t xml:space="preserve">https://www.linkedin.com/in/imperiolg</t>
  </si>
  <si>
    <t xml:space="preserve">https://www.linkedin.com/company/smithgifford/</t>
  </si>
  <si>
    <t xml:space="preserve">🇲🇽🇺🇸 ACD(ART) @ SG</t>
  </si>
  <si>
    <t xml:space="preserve">Jennica</t>
  </si>
  <si>
    <t xml:space="preserve">Bocchino</t>
  </si>
  <si>
    <t xml:space="preserve">Group Creative Director (Art)</t>
  </si>
  <si>
    <t xml:space="preserve">Notorious111</t>
  </si>
  <si>
    <t xml:space="preserve">https://hzdg.com</t>
  </si>
  <si>
    <t xml:space="preserve">https://www.linkedin.com/in/jennicab</t>
  </si>
  <si>
    <t xml:space="preserve">https://www.linkedin.com/company/notorious111studio/</t>
  </si>
  <si>
    <t xml:space="preserve">Art Director, Creative Director </t>
  </si>
  <si>
    <t xml:space="preserve">Tara</t>
  </si>
  <si>
    <t xml:space="preserve">Sroka</t>
  </si>
  <si>
    <t xml:space="preserve">Creative Operations Art Director</t>
  </si>
  <si>
    <t xml:space="preserve">Havas Gemini, LLC</t>
  </si>
  <si>
    <t xml:space="preserve">https://havasgemini.com</t>
  </si>
  <si>
    <t xml:space="preserve">https://www.linkedin.com/in/tarasroka</t>
  </si>
  <si>
    <t xml:space="preserve">https://www.linkedin.com/company/havas-gemini-llc/</t>
  </si>
  <si>
    <t xml:space="preserve">1/5/2025 - now</t>
  </si>
  <si>
    <t xml:space="preserve">Korpi</t>
  </si>
  <si>
    <t xml:space="preserve">Founder &amp; Principal Design Partner</t>
  </si>
  <si>
    <t xml:space="preserve">Hold Fast Studio</t>
  </si>
  <si>
    <t xml:space="preserve">https://korpi.co</t>
  </si>
  <si>
    <t xml:space="preserve">https://www.linkedin.com/in/kevkor</t>
  </si>
  <si>
    <t xml:space="preserve">https://www.linkedin.com/company/holdfaststudio/</t>
  </si>
  <si>
    <t xml:space="preserve">Designer for 0→1 Products | Hardware + Software + AI | Ex-Google, Adobe, Amazon, Microsoft, GoPro. First design hire at multiple startups.</t>
  </si>
  <si>
    <t xml:space="preserve">1/3/2018 - now</t>
  </si>
  <si>
    <t xml:space="preserve">Just engaged with a post written by &lt;a href='https://www.linkedin.com/feed/update/urn:li:activity:7496098888395825152/' target='_blank'&gt;Derek Bender&lt;/a&gt;</t>
  </si>
  <si>
    <t xml:space="preserve">"design bottleneck"</t>
  </si>
  <si>
    <t xml:space="preserve">Role aligns with Founder; industry and location match; company size is outside ideal band.</t>
  </si>
  <si>
    <t xml:space="preserve">2026-08-30 15:37</t>
  </si>
  <si>
    <t xml:space="preserve">Hew</t>
  </si>
  <si>
    <t xml:space="preserve">Suber, MBA</t>
  </si>
  <si>
    <t xml:space="preserve">Fractional Head of Design</t>
  </si>
  <si>
    <t xml:space="preserve">Danti</t>
  </si>
  <si>
    <t xml:space="preserve">hewdoes.design</t>
  </si>
  <si>
    <t xml:space="preserve">https://www.linkedin.com/in/matthewsuber</t>
  </si>
  <si>
    <t xml:space="preserve">https://linkedin.com/company/91360544</t>
  </si>
  <si>
    <t xml:space="preserve">Product Strategist, Builder &amp; Design Leader | AI-Native, Ads &amp; Automation | Ex-Pinterest, Ex-Meta | MBA in Applied AI</t>
  </si>
  <si>
    <t xml:space="preserve">06/01/2026 - Present</t>
  </si>
  <si>
    <t xml:space="preserve">Just engaged with a post written by &lt;a href='https://www.linkedin.com/feed/update/urn:li:activity:7496201538495799296/' target='_blank'&gt;Hew Suber, MBA&lt;/a&gt;</t>
  </si>
  <si>
    <t xml:space="preserve">Role maps to ICP design leadership; location and size align with US-based mid-size firms.</t>
  </si>
  <si>
    <t xml:space="preserve">Renée</t>
  </si>
  <si>
    <t xml:space="preserve">L.</t>
  </si>
  <si>
    <t xml:space="preserve">Principal | Creative/Copy Director | fCMO</t>
  </si>
  <si>
    <t xml:space="preserve">Emergo Consulting &amp; Creative</t>
  </si>
  <si>
    <t xml:space="preserve">http://ConsultEmergo.com</t>
  </si>
  <si>
    <t xml:space="preserve">https://www.linkedin.com/in/reneelemley/</t>
  </si>
  <si>
    <t xml:space="preserve">https://linkedin.com/company/107692642</t>
  </si>
  <si>
    <t xml:space="preserve">Creative Director, Copy/Fractional CMO | Proud Under Armour💪 &amp; Orvis🐟 Alum | Word Architect, Brand Builder, Team Leader &amp; Process Optimizer | Navigator: Chaos --​&gt; Order | Sailor⛵🌎🏝️</t>
  </si>
  <si>
    <t xml:space="preserve">03/01/2022 - Present</t>
  </si>
  <si>
    <t xml:space="preserve">Just engaged with a &lt;a href='https://www.linkedin.com/feed/update/urn:li:activity:7498010927003516928/' target='_blank'&gt;LinkedIn post&lt;/a&gt;</t>
  </si>
  <si>
    <t xml:space="preserve">Role aligns with ICP in creative leadership; location US; industry matches Marketing Services; company size is slightly smaller than ICP.</t>
  </si>
  <si>
    <t xml:space="preserve">Marty</t>
  </si>
  <si>
    <t xml:space="preserve">Hutchinson</t>
  </si>
  <si>
    <t xml:space="preserve">INFINITDESIGN, INC.</t>
  </si>
  <si>
    <t xml:space="preserve">McDonough, Georgia, United States</t>
  </si>
  <si>
    <t xml:space="preserve">https://hutchdesign.com</t>
  </si>
  <si>
    <t xml:space="preserve">https://www.linkedin.com/in/marty-hutchinson-74305a4/</t>
  </si>
  <si>
    <t xml:space="preserve">https://www.linkedin.com/company/infinitdesign-inc./</t>
  </si>
  <si>
    <t xml:space="preserve">Doing what we can do to bring your Brand to life</t>
  </si>
  <si>
    <t xml:space="preserve">1/4/2005 - now</t>
  </si>
  <si>
    <t xml:space="preserve">Just engaged with a &lt;a href='https://www.linkedin.com/feed/update/urn:li:activity:7498759990732808192/' target='_blank'&gt;LinkedIn post&lt;/a&gt;</t>
  </si>
  <si>
    <t xml:space="preserve">"white label design"</t>
  </si>
  <si>
    <t xml:space="preserve">Owner maps to Founder; industry aligns with Design Services; location and size align.</t>
  </si>
  <si>
    <t xml:space="preserve">2026-08-30 09:55</t>
  </si>
  <si>
    <t xml:space="preserve">Scott</t>
  </si>
  <si>
    <t xml:space="preserve">Drucker</t>
  </si>
  <si>
    <t xml:space="preserve">Managing Partner</t>
  </si>
  <si>
    <t xml:space="preserve">The Drucker Group</t>
  </si>
  <si>
    <t xml:space="preserve">Des Plaines, Illinois, United States</t>
  </si>
  <si>
    <t xml:space="preserve">https://www.linkedin.com/in/scottdrucker/</t>
  </si>
  <si>
    <t xml:space="preserve">https://www.linkedin.com/company/drucker-group</t>
  </si>
  <si>
    <t xml:space="preserve">I Help Brands Turn Customer Insight into Strategic Growth &amp; Revenue</t>
  </si>
  <si>
    <t xml:space="preserve">January 2003 - Present</t>
  </si>
  <si>
    <t xml:space="preserve">Just engaged with a &lt;a href='https://www.linkedin.com/feed/update/urn:li:activity:7498720691832111104/' target='_blank'&gt;LinkedIn post&lt;/a&gt;</t>
  </si>
  <si>
    <t xml:space="preserve">"creative team capacity"</t>
  </si>
  <si>
    <t xml:space="preserve">Role aligns with executive leadership and ICP criteria across industry, location, and company size.</t>
  </si>
  <si>
    <t xml:space="preserve">2026-08-30 04:10</t>
  </si>
  <si>
    <t xml:space="preserve">Fatin</t>
  </si>
  <si>
    <t xml:space="preserve">Kwasny</t>
  </si>
  <si>
    <t xml:space="preserve">Fractio</t>
  </si>
  <si>
    <t xml:space="preserve">Greater Tampa Bay Area, United States</t>
  </si>
  <si>
    <t xml:space="preserve">https://fractio.co</t>
  </si>
  <si>
    <t xml:space="preserve">https://www.linkedin.com/in/fatinkwasny</t>
  </si>
  <si>
    <t xml:space="preserve">https://www.linkedin.com/company/fractio-co/</t>
  </si>
  <si>
    <t xml:space="preserve">Founder &amp; CEO, Fractio · Breaking the cycle of time-based billing · The First Transaction Infrastructure for AI-Native Enterprise Work · Lean Six Sigma GB · Embarc Collective · Florida Venture Capital Conference 2026</t>
  </si>
  <si>
    <t xml:space="preserve">YOUR_PROFILE</t>
  </si>
  <si>
    <t xml:space="preserve">Just engaged with your profile</t>
  </si>
  <si>
    <t xml:space="preserve">https://www.linkedin.com/in/eikko-yba%C3%B1ez-87a452270</t>
  </si>
  <si>
    <t xml:space="preserve">Founder &amp; CEO aligns with ICP titles; location and size match; industry is only a partial fit.</t>
  </si>
  <si>
    <t xml:space="preserve">2026-08-29 15:54</t>
  </si>
  <si>
    <t xml:space="preserve">Caffera</t>
  </si>
  <si>
    <t xml:space="preserve">Chief Transformation Revenue Officer (CTRO) | Founder</t>
  </si>
  <si>
    <t xml:space="preserve">MyCloudGCS</t>
  </si>
  <si>
    <t xml:space="preserve">https://mycloudgcs.com</t>
  </si>
  <si>
    <t xml:space="preserve">https://www.linkedin.com/in/chriscaffera/</t>
  </si>
  <si>
    <t xml:space="preserve">https://www.linkedin.com/company/mycloudgcs/</t>
  </si>
  <si>
    <t xml:space="preserve">Fractional Leadership | Chief Transformation Revenue Officer   Author: CORE(S) Framework™ | AI Operating System Architect   Outcomes Focused | Modern FinOps Structured</t>
  </si>
  <si>
    <t xml:space="preserve">2/3/2019 - now</t>
  </si>
  <si>
    <t xml:space="preserve">Just engaged with your &lt;a href='https://www.linkedin.com/posts/chriscaffera_diagnosticfirst-businesstransformation-professionalservices-activity-7488613133700460544-dD0i?utm_source=social_share_send&amp;utm_medium=member_desktop_web&amp;rcm=ACoAAGjcfPcBpCsJEBZj28sDXhjnAs9Bq0V6w9I' target='_blank'&gt;profile&lt;/a&gt;</t>
  </si>
  <si>
    <t xml:space="preserve">Founder role aligns with ICP; location and company size match; industry is adjacent but not an exact ICP fit.</t>
  </si>
  <si>
    <t xml:space="preserve">Aimee</t>
  </si>
  <si>
    <t xml:space="preserve">Brodbeck</t>
  </si>
  <si>
    <t xml:space="preserve">Creative Director (Art Director)</t>
  </si>
  <si>
    <t xml:space="preserve">Los Angeles Metropolitan Area, United States</t>
  </si>
  <si>
    <t xml:space="preserve">https://www.linkedin.com/in/aimee-brodbeck-83493a8</t>
  </si>
  <si>
    <t xml:space="preserve">Freelance CD Art Director | Creator of The Avail List </t>
  </si>
  <si>
    <t xml:space="preserve">2026-08-29 15:13</t>
  </si>
  <si>
    <t xml:space="preserve">Souers</t>
  </si>
  <si>
    <t xml:space="preserve">Greater Chicago Area, United States</t>
  </si>
  <si>
    <t xml:space="preserve">https://www.linkedin.com/in/tim-souers-57ba709</t>
  </si>
  <si>
    <t xml:space="preserve">Creative/Art Director at Self-Employed</t>
  </si>
  <si>
    <t xml:space="preserve">Aisha</t>
  </si>
  <si>
    <t xml:space="preserve">Hakim</t>
  </si>
  <si>
    <t xml:space="preserve">https://www.linkedin.com/in/aishannhakim</t>
  </si>
  <si>
    <t xml:space="preserve">Freelance Creative (Art) Director @aishamadeit.com</t>
  </si>
  <si>
    <t xml:space="preserve">Cousin</t>
  </si>
  <si>
    <t xml:space="preserve">Mark Cousin</t>
  </si>
  <si>
    <t xml:space="preserve">https://www.linkedin.com/in/markcousin</t>
  </si>
  <si>
    <t xml:space="preserve">Fan Fav / Creative Director / Art Director – Advertising / Experiential / Interactive / Branding</t>
  </si>
  <si>
    <t xml:space="preserve">Joey</t>
  </si>
  <si>
    <t xml:space="preserve">Rodriguez</t>
  </si>
  <si>
    <t xml:space="preserve">Katy, Texas, United States</t>
  </si>
  <si>
    <t xml:space="preserve">https://www.linkedin.com/in/joey-rodriguez-artdirector</t>
  </si>
  <si>
    <t xml:space="preserve">5/9/2020 - now</t>
  </si>
  <si>
    <t xml:space="preserve">Harun</t>
  </si>
  <si>
    <t xml:space="preserve">Zankel</t>
  </si>
  <si>
    <t xml:space="preserve">Glen Ridge, New Jersey, United States</t>
  </si>
  <si>
    <t xml:space="preserve">https://www.linkedin.com/in/hzankel</t>
  </si>
  <si>
    <t xml:space="preserve">Creative Director / Art Director / Designer / Muralist
- Currently Available</t>
  </si>
  <si>
    <t xml:space="preserve">6/4/2020 - now</t>
  </si>
  <si>
    <t xml:space="preserve">Kristina</t>
  </si>
  <si>
    <t xml:space="preserve">Morris</t>
  </si>
  <si>
    <t xml:space="preserve">Art Director | Creative</t>
  </si>
  <si>
    <t xml:space="preserve">https://www.linkedin.com/in/kristina-morris-19459812</t>
  </si>
  <si>
    <t xml:space="preserve">Independent Integrated Creative | Art Director | Campaign &amp; Visual Design for Consumer Brands | Wieden+Kennedy Alumni | FL @ 72&amp;Sunny | RGA | TBWA\​Chiat\​Day | Spotify</t>
  </si>
  <si>
    <t xml:space="preserve">6/2/2024 - now</t>
  </si>
  <si>
    <t xml:space="preserve">Ron</t>
  </si>
  <si>
    <t xml:space="preserve">Castaldo</t>
  </si>
  <si>
    <t xml:space="preserve">Freelance Self-Employed </t>
  </si>
  <si>
    <t xml:space="preserve">https://www.linkedin.com/in/castaldoron</t>
  </si>
  <si>
    <t xml:space="preserve">Executive Creative Director. Builder of Powerhouse Teams. Creative Unicorn.</t>
  </si>
  <si>
    <t xml:space="preserve">1/6/2007 - now</t>
  </si>
  <si>
    <t xml:space="preserve">Jody</t>
  </si>
  <si>
    <t xml:space="preserve">Cates</t>
  </si>
  <si>
    <t xml:space="preserve">CatesWorks</t>
  </si>
  <si>
    <t xml:space="preserve">https://www.linkedin.com/in/catesworks</t>
  </si>
  <si>
    <t xml:space="preserve">Creative Director/Art Director catesworks.com</t>
  </si>
  <si>
    <t xml:space="preserve">Randall</t>
  </si>
  <si>
    <t xml:space="preserve">Martínez</t>
  </si>
  <si>
    <t xml:space="preserve">Founder, Creative Director, Art &amp; Design</t>
  </si>
  <si>
    <t xml:space="preserve">Randall Martinez</t>
  </si>
  <si>
    <t xml:space="preserve">https://www.linkedin.com/in/randall-martinez</t>
  </si>
  <si>
    <t xml:space="preserve">Randall Martínez is a Denver-based designer and director known for his smart, conceptually driven, and strategically focused materials across all media.</t>
  </si>
  <si>
    <t xml:space="preserve">1/10/2015 - now</t>
  </si>
  <si>
    <t xml:space="preserve">Cioty</t>
  </si>
  <si>
    <t xml:space="preserve">Tjia</t>
  </si>
  <si>
    <t xml:space="preserve">Advertsing and Tech Industry</t>
  </si>
  <si>
    <t xml:space="preserve">https://www.linkedin.com/in/cioty</t>
  </si>
  <si>
    <t xml:space="preserve">Freelance Creative Director / Art Director + Designer [Alum: McCann, AKQA]</t>
  </si>
  <si>
    <t xml:space="preserve">Rich</t>
  </si>
  <si>
    <t xml:space="preserve">Wallace</t>
  </si>
  <si>
    <t xml:space="preserve">Freelance Marketing and Creative Services</t>
  </si>
  <si>
    <t xml:space="preserve">Berkeley Heights, New Jersey, United States</t>
  </si>
  <si>
    <t xml:space="preserve">https://www.linkedin.com/in/rich-wallace-4b2a7a88</t>
  </si>
  <si>
    <t xml:space="preserve">Creative Director / Art Director / Available: freelance / full time</t>
  </si>
  <si>
    <t xml:space="preserve">Pamela</t>
  </si>
  <si>
    <t xml:space="preserve">Libonati</t>
  </si>
  <si>
    <t xml:space="preserve">www.currentobsessions.com</t>
  </si>
  <si>
    <t xml:space="preserve">https://www.linkedin.com/in/pamelalibonati</t>
  </si>
  <si>
    <t xml:space="preserve">Creative Director | Previously @ Neiman Marcus, Bergdorf Goodman, Bloomingdales, Coach, J.Crew, Victoria’s Secret</t>
  </si>
  <si>
    <t xml:space="preserve">4/3/2015 - now</t>
  </si>
  <si>
    <t xml:space="preserve">Kanad</t>
  </si>
  <si>
    <t xml:space="preserve">Banerjee</t>
  </si>
  <si>
    <t xml:space="preserve">https://www.linkedin.com/in/kanban</t>
  </si>
  <si>
    <t xml:space="preserve">Good for pitches and launches, and everything in between!</t>
  </si>
  <si>
    <t xml:space="preserve">Ricardo</t>
  </si>
  <si>
    <t xml:space="preserve">Vallejo</t>
  </si>
  <si>
    <t xml:space="preserve">Creative Director / Art</t>
  </si>
  <si>
    <t xml:space="preserve">RicardoVallejo.com</t>
  </si>
  <si>
    <t xml:space="preserve">https://www.linkedin.com/in/ricardovallejo</t>
  </si>
  <si>
    <t xml:space="preserve">Creative Director / Art · Cannes, D&amp;AD, One Show · Ex-FCB, DDB, VML, Leo Burnett/Lapiz · 10+ years of making the logo bigger</t>
  </si>
  <si>
    <t xml:space="preserve">6/10/2024 - now</t>
  </si>
  <si>
    <t xml:space="preserve">Clarisse</t>
  </si>
  <si>
    <t xml:space="preserve">Mooney</t>
  </si>
  <si>
    <t xml:space="preserve">Creative Director – Art</t>
  </si>
  <si>
    <t xml:space="preserve">https://www.linkedin.com/in/clarisse-mooney</t>
  </si>
  <si>
    <t xml:space="preserve">Freelance Creative Director</t>
  </si>
  <si>
    <t xml:space="preserve">Soto</t>
  </si>
  <si>
    <t xml:space="preserve">jonsoto.com</t>
  </si>
  <si>
    <t xml:space="preserve">Martinez, California, United States</t>
  </si>
  <si>
    <t xml:space="preserve">https://www.linkedin.com/in/jon-soto-b319944</t>
  </si>
  <si>
    <t xml:space="preserve">Independent Creative Director | Art Director |  Writer | Creator | Apple | Meta | Twitter | Mayo Clinic | GS&amp;P | Chiat/Day | BBDO | MD&amp;E | Grand Prix | One Show | Clio Hall of Fame | Effie | Emmy | Energetic | Kind</t>
  </si>
  <si>
    <t xml:space="preserve">4/5/2011 - now</t>
  </si>
  <si>
    <t xml:space="preserve">Even</t>
  </si>
  <si>
    <t xml:space="preserve">Santa Monica, California, United States</t>
  </si>
  <si>
    <t xml:space="preserve">https://www.linkedin.com/in/matteven</t>
  </si>
  <si>
    <t xml:space="preserve">Creative Director | Art Director | previous: Vans, Apple, W+K, Mother</t>
  </si>
  <si>
    <t xml:space="preserve">Justin</t>
  </si>
  <si>
    <t xml:space="preserve">Havey</t>
  </si>
  <si>
    <t xml:space="preserve">Co-Founder, Art &amp; Creative Director</t>
  </si>
  <si>
    <t xml:space="preserve">Sword &amp; Shield</t>
  </si>
  <si>
    <t xml:space="preserve">Boise, Idaho, United States</t>
  </si>
  <si>
    <t xml:space="preserve">https://swordandshield.tv</t>
  </si>
  <si>
    <t xml:space="preserve">https://www.linkedin.com/in/justinhavey</t>
  </si>
  <si>
    <t xml:space="preserve">https://www.linkedin.com/company/swordandshieldtv/</t>
  </si>
  <si>
    <t xml:space="preserve">Co-Founder of Sword &amp; Shield | Film, Design, Motion</t>
  </si>
  <si>
    <t xml:space="preserve">Butorac</t>
  </si>
  <si>
    <t xml:space="preserve">Factor San Francisco</t>
  </si>
  <si>
    <t xml:space="preserve">https://factorsf.com</t>
  </si>
  <si>
    <t xml:space="preserve">https://www.linkedin.com/in/markbutorac</t>
  </si>
  <si>
    <t xml:space="preserve">https://www.linkedin.com/company/factor-san-francisco/</t>
  </si>
  <si>
    <t xml:space="preserve">Chaz</t>
  </si>
  <si>
    <t xml:space="preserve">King</t>
  </si>
  <si>
    <t xml:space="preserve">Creative Director - Art</t>
  </si>
  <si>
    <t xml:space="preserve">Merkley + Partners</t>
  </si>
  <si>
    <t xml:space="preserve">https://merkleyandpartners.com</t>
  </si>
  <si>
    <t xml:space="preserve">https://www.linkedin.com/in/mynameischaz</t>
  </si>
  <si>
    <t xml:space="preserve">https://www.linkedin.com/company/merkley---partners/</t>
  </si>
  <si>
    <t xml:space="preserve">I’ve been labeled a Creative Director, Design Director, ACD, and Group Art Sup by the top ad agency networks. But at home, I’m simply Chef Chaz, “Yo Coach”, and the repair man...</t>
  </si>
  <si>
    <t xml:space="preserve">ERIC</t>
  </si>
  <si>
    <t xml:space="preserve">CRONIN</t>
  </si>
  <si>
    <t xml:space="preserve">FOUNDER | CREATIVE DIRECTOR ART</t>
  </si>
  <si>
    <t xml:space="preserve">CRONINMADE</t>
  </si>
  <si>
    <t xml:space="preserve">https://croninmade.com</t>
  </si>
  <si>
    <t xml:space="preserve">https://www.linkedin.com/in/croninmade</t>
  </si>
  <si>
    <t xml:space="preserve">https://www.linkedin.com/company/croninmade/</t>
  </si>
  <si>
    <t xml:space="preserve">INDEPENDENT CREATIVE HUMAN | ART FOUNDER @ CRONINMADE | CHICAGO</t>
  </si>
  <si>
    <t xml:space="preserve">Karla</t>
  </si>
  <si>
    <t xml:space="preserve">Murphy</t>
  </si>
  <si>
    <t xml:space="preserve">Founder | Leadership Systems for Scaling Companies</t>
  </si>
  <si>
    <t xml:space="preserve">Founders Forge</t>
  </si>
  <si>
    <t xml:space="preserve">Professional Training and Coaching</t>
  </si>
  <si>
    <t xml:space="preserve">Jacksonville, North Carolina, United States</t>
  </si>
  <si>
    <t xml:space="preserve">https://foundersforge.pro/</t>
  </si>
  <si>
    <t xml:space="preserve">https://www.linkedin.com/in/karlamurphy1/</t>
  </si>
  <si>
    <t xml:space="preserve">https://linkedin.com/company/112944226</t>
  </si>
  <si>
    <t xml:space="preserve">Too obsessed to quit? Too burned out to keep going? Executive coach for founders who refuse to choose between ambition and a good life | Speaker | Author of “Be One of Zero” | Marine Veteran</t>
  </si>
  <si>
    <t xml:space="preserve">01/01/2021 - Present</t>
  </si>
  <si>
    <t xml:space="preserve">Just engaged with an &lt;a href='https://www.linkedin.com/posts/richcardona_no-one-loves-to-help-entrepreneurs-more-than-ugcPost-7496242466849935360-hLpG?utm_source=social_share_send&amp;utm_medium=member_desktop_web&amp;rcm=ACoAAGjca2cBXwgvKsY9jaoLa9C6tCdY13O1HgU' target='_blank'&gt;industry expert&lt;/a&gt;</t>
  </si>
  <si>
    <t xml:space="preserve">Founder role matches ICP; US location; industry adjacent and size close to ICP.</t>
  </si>
  <si>
    <t xml:space="preserve">2026-08-29 10:09</t>
  </si>
  <si>
    <t xml:space="preserve">Romanski</t>
  </si>
  <si>
    <t xml:space="preserve">Amdian</t>
  </si>
  <si>
    <t xml:space="preserve">Greater Seattle Area, United States</t>
  </si>
  <si>
    <t xml:space="preserve">https://webandgraphics.com</t>
  </si>
  <si>
    <t xml:space="preserve">https://www.linkedin.com/in/adamatamdian/</t>
  </si>
  <si>
    <t xml:space="preserve">https://www.linkedin.com/company/amdian/</t>
  </si>
  <si>
    <t xml:space="preserve">Brand + design partner to great companies</t>
  </si>
  <si>
    <t xml:space="preserve">5/5/2000 - now</t>
  </si>
  <si>
    <t xml:space="preserve">Just engaged with a &lt;a href='https://www.linkedin.com/posts/99designs_image-carousel-activity-7487281038109630465-UfhQ?utm_source=social_share_send&amp;utm_medium=member_desktop_web&amp;rcm=ACoAAGmGGcMB5YZj6sFNg7TssZ7MUwPHN2FL2wI' target='_blank'&gt;competitor&lt;/a&gt;</t>
  </si>
  <si>
    <t xml:space="preserve">https://www.linkedin.com/company/99designs</t>
  </si>
  <si>
    <t xml:space="preserve">Role clearly matches ICP; industry aligns with Design Services; location and size fit; strong overall fit.</t>
  </si>
  <si>
    <t xml:space="preserve">2026-08-28 21:56</t>
  </si>
  <si>
    <t xml:space="preserve">Shank</t>
  </si>
  <si>
    <t xml:space="preserve">Director of Client Strategy &amp; Growth</t>
  </si>
  <si>
    <t xml:space="preserve">WideFoc.us</t>
  </si>
  <si>
    <t xml:space="preserve">Windsor, Colorado, United States</t>
  </si>
  <si>
    <t xml:space="preserve">https://widefoc.us</t>
  </si>
  <si>
    <t xml:space="preserve">https://www.linkedin.com/in/ACwAAAQlHXQBljZr3IZXDQJIM-v3xl705e13Hhg</t>
  </si>
  <si>
    <t xml:space="preserve">https://www.linkedin.com/company/widefoc-us/</t>
  </si>
  <si>
    <t xml:space="preserve">Hi, I’m Ashley! For the past ten years, I’ve owned and managed an all-women digital marketing agency, specializing in Brand Strategy, High-Converting Web Design, and Growth Marketing for service-based...</t>
  </si>
  <si>
    <t xml:space="preserve">Strategic Window: Just hired (&lt;90d)</t>
  </si>
  <si>
    <t xml:space="preserve">Role aligns with ICP titles; location and size match US-based mid-market.</t>
  </si>
  <si>
    <t xml:space="preserve">2026-08-28 09:14</t>
  </si>
  <si>
    <t xml:space="preserve">Critchfield, MBA</t>
  </si>
  <si>
    <t xml:space="preserve">Vice President Marketing</t>
  </si>
  <si>
    <t xml:space="preserve">Nuclearn</t>
  </si>
  <si>
    <t xml:space="preserve">Chandler, Arizona, United States</t>
  </si>
  <si>
    <t xml:space="preserve">https://nuclearn.ai</t>
  </si>
  <si>
    <t xml:space="preserve">https://www.linkedin.com/in/ACwAAAASB34BErjb0ZPInLZdI2prnMaZDVgEqvE</t>
  </si>
  <si>
    <t xml:space="preserve">https://www.linkedin.com/company/nuclearn/</t>
  </si>
  <si>
    <t xml:space="preserve">Besides his reputation as a connoisseur of brainless comedies and Huey Lewis music, Brian Critchfield is a global speaker, author, professor, and consultant on the topics of word of mouth marketing, m...</t>
  </si>
  <si>
    <t xml:space="preserve">Role maps to ICP VP of Marketing; industry aligns to Software/Tech; company size matches ICP bands; location is in the United States.</t>
  </si>
  <si>
    <t xml:space="preserve">2026-08-28 09:13</t>
  </si>
  <si>
    <t xml:space="preserve">Alexis</t>
  </si>
  <si>
    <t xml:space="preserve">Trammell</t>
  </si>
  <si>
    <t xml:space="preserve">Chief Growth Officer</t>
  </si>
  <si>
    <t xml:space="preserve">Stratabeat</t>
  </si>
  <si>
    <t xml:space="preserve">https://stratabeat.com</t>
  </si>
  <si>
    <t xml:space="preserve">https://www.linkedin.com/in/ACwAABGVBVABkpqFYzlPVIgtBHtWHET8mqreauM</t>
  </si>
  <si>
    <t xml:space="preserve">https://www.linkedin.com/company/stratabeat/</t>
  </si>
  <si>
    <t xml:space="preserve">I’m your SEO, GEO, and content BFF, out to destroy mediocre marketing and ready to help you reach your traffic, conversion, and pipeline goals.TL;DR: I help people achieve their goals. 🔔 Follow me fo...</t>
  </si>
  <si>
    <t xml:space="preserve">2/9/2018 - now</t>
  </si>
  <si>
    <t xml:space="preserve">Role aligns with growth/marketing leadership; industry, size, and location match ICP.</t>
  </si>
  <si>
    <t xml:space="preserve">August</t>
  </si>
  <si>
    <t xml:space="preserve">Heffner</t>
  </si>
  <si>
    <t xml:space="preserve">Group Executive Creative Director</t>
  </si>
  <si>
    <t xml:space="preserve">Instrument</t>
  </si>
  <si>
    <t xml:space="preserve">201-500</t>
  </si>
  <si>
    <t xml:space="preserve">https://instrument.com</t>
  </si>
  <si>
    <t xml:space="preserve">https://www.linkedin.com/in/ACwAAACRlMwBlxW_ID-XF3GSHRtkWBpLOJkTjLE</t>
  </si>
  <si>
    <t xml:space="preserve">https://www.linkedin.com/company/instrument/</t>
  </si>
  <si>
    <t xml:space="preserve">I lead brand and product organizations to scale through technological innovation and human stories.Currently I am Head of Creative Innovation at Red Antler, leading special projects and client work th...</t>
  </si>
  <si>
    <t xml:space="preserve">Role maps to Creative/Head of Creative; location and industry align; company size is one band larger than ICP.</t>
  </si>
  <si>
    <t xml:space="preserve">Madison</t>
  </si>
  <si>
    <t xml:space="preserve">Sobol-Sparks</t>
  </si>
  <si>
    <t xml:space="preserve">Head of Marketing &amp; Partnerships</t>
  </si>
  <si>
    <t xml:space="preserve">Outstanding in the Field</t>
  </si>
  <si>
    <t xml:space="preserve">https://outstandinginthefield.com</t>
  </si>
  <si>
    <t xml:space="preserve">https://www.linkedin.com/in/ACwAABrei3wB8NAlNZL6mZuTwheC-IuG65R9FF0</t>
  </si>
  <si>
    <t xml:space="preserve">https://www.linkedin.com/company/outstanding-in-the-field/</t>
  </si>
  <si>
    <t xml:space="preserve">Role maps to Head of Marketing; US location and 11-50 staff align; industry is adjacent.</t>
  </si>
  <si>
    <t xml:space="preserve">William</t>
  </si>
  <si>
    <t xml:space="preserve">Partner &amp; Fractional Chief Marketing/Growth Officer</t>
  </si>
  <si>
    <t xml:space="preserve">Chief Outsiders</t>
  </si>
  <si>
    <t xml:space="preserve">https://chiefoutsiders.com</t>
  </si>
  <si>
    <t xml:space="preserve">https://www.linkedin.com/in/ACwAAAD7YokB_aatCf1hItPDl7jTLEV3Rc96G0Q</t>
  </si>
  <si>
    <t xml:space="preserve">https://www.linkedin.com/company/chief-outsiders/</t>
  </si>
  <si>
    <t xml:space="preserve">Growth-oriented business executive with proven success in delivering profitable revenue and transformation for organizations through the art of data-driven decisioning, design thinking principles, and...</t>
  </si>
  <si>
    <t xml:space="preserve">6/01/2021 - now</t>
  </si>
  <si>
    <t xml:space="preserve">Role maps to ICP CMO; industry, size, and US location align with ICP.</t>
  </si>
  <si>
    <t xml:space="preserve">Kelly</t>
  </si>
  <si>
    <t xml:space="preserve">Megel</t>
  </si>
  <si>
    <t xml:space="preserve">Chief Marketing Officer &amp; Executive Coach &amp; Advisor</t>
  </si>
  <si>
    <t xml:space="preserve">https://www.linkedin.com/in/ACwAAAB-WBYB9dr_1keXqLsKOdseGz7eWL79LSc</t>
  </si>
  <si>
    <t xml:space="preserve">Executive growth leader, Fractional CMO, and Executive Coach &amp;amp; Advisor with 20+ years of experience helping businesses, brands, and leaders navigate change and unlock their next stage of growth.As...</t>
  </si>
  <si>
    <t xml:space="preserve">01/7/2026 - now</t>
  </si>
  <si>
    <t xml:space="preserve">Role clearly matches ICP Senior Marketing Lead; industry, size, and location align with ICP.</t>
  </si>
  <si>
    <t xml:space="preserve">Sherehan</t>
  </si>
  <si>
    <t xml:space="preserve">Ross</t>
  </si>
  <si>
    <t xml:space="preserve">AltaDX</t>
  </si>
  <si>
    <t xml:space="preserve">https://getalta.com</t>
  </si>
  <si>
    <t xml:space="preserve">https://www.linkedin.com/in/ACwAAAJFCPcBGbJ-8H3c8mP3otoKZG9FV0o02Nw</t>
  </si>
  <si>
    <t xml:space="preserve">https://www.linkedin.com/company/getalta/</t>
  </si>
  <si>
    <t xml:space="preserve">I’m a full-stack, full-funnel marketing leader. I design growth systems that align marketing, sales, and product around the customer journey, turning insight into pipeline and revenue.My work centers ...</t>
  </si>
  <si>
    <t xml:space="preserve">Role matches ICP VP of Marketing; industry and location align with US-based body; company size fits.</t>
  </si>
  <si>
    <t xml:space="preserve">Kastner</t>
  </si>
  <si>
    <t xml:space="preserve">McGarrah Jessee</t>
  </si>
  <si>
    <t xml:space="preserve">Austin, Texas Metropolitan Area, United States</t>
  </si>
  <si>
    <t xml:space="preserve">https://mcj.co</t>
  </si>
  <si>
    <t xml:space="preserve">https://www.linkedin.com/in/page-kastner-14058a111/</t>
  </si>
  <si>
    <t xml:space="preserve">https://www.linkedin.com/company/mcgarrah-jessee/</t>
  </si>
  <si>
    <t xml:space="preserve">Associate Creative Director @ McGarrah Jessee | BFA Design</t>
  </si>
  <si>
    <t xml:space="preserve">6/10/2019 - now</t>
  </si>
  <si>
    <t xml:space="preserve">Just engaged with a &lt;a href='https://www.linkedin.com/feed/update/urn:li:activity:7496658159214743552/' target='_blank'&gt;LinkedIn post&lt;/a&gt;</t>
  </si>
  <si>
    <t xml:space="preserve">Associate Creative Director aligns with senior design leadership in US-based advertising firm; location match; company size slightly larger than ICP; industry fits Advertising Services.</t>
  </si>
  <si>
    <t xml:space="preserve">2026-08-28 08:01</t>
  </si>
  <si>
    <t xml:space="preserve">Kate</t>
  </si>
  <si>
    <t xml:space="preserve">Marnik</t>
  </si>
  <si>
    <t xml:space="preserve">TALK Creative</t>
  </si>
  <si>
    <t xml:space="preserve">https://www.linkedin.com/in/kdm8531/</t>
  </si>
  <si>
    <t xml:space="preserve">https://linkedin.com/company/103363196</t>
  </si>
  <si>
    <t xml:space="preserve">09/01/2022 - Present</t>
  </si>
  <si>
    <t xml:space="preserve">Just engaged with an &lt;a href='https://www.linkedin.com/posts/daniel-murray-marketing_just-use-ai-activity-7477395498505584640-7meW?utm_source=social_share_send&amp;utm_medium=member_desktop_web&amp;rcm=ACoAAGj6alwBzirDu17DJoaD6VIAD2FTGbtG81I' target='_blank'&gt;industry expert&lt;/a&gt;</t>
  </si>
  <si>
    <t xml:space="preserve">Art Director at a US design service with compatible size and location aligns with ICP.</t>
  </si>
  <si>
    <t xml:space="preserve">2026-08-28 03:56</t>
  </si>
  <si>
    <t xml:space="preserve">LaFlamme</t>
  </si>
  <si>
    <t xml:space="preserve">Director, Client Engagement</t>
  </si>
  <si>
    <t xml:space="preserve">AD-ID</t>
  </si>
  <si>
    <t xml:space="preserve">Merrick, New York, United States</t>
  </si>
  <si>
    <t xml:space="preserve">https://ad-id.org</t>
  </si>
  <si>
    <t xml:space="preserve">https://www.linkedin.com/in/ndlaflamme</t>
  </si>
  <si>
    <t xml:space="preserve">https://www.linkedin.com/company/ad-id-llc/</t>
  </si>
  <si>
    <t xml:space="preserve">Director, Client Engagement at AD-ID LLC</t>
  </si>
  <si>
    <t xml:space="preserve">Just engaged with the industry expert &lt;a href='https://www.linkedin.com/posts/daniel-murray-marketing_happy-wednesday-activity-7495850261509304320-IKTx?utm_source=social_share_send&amp;utm_medium=member_desktop_web&amp;rcm=ACoAAGj6alwBzirDu17DJoaD6VIAD2FTGbtG81I' target='_blank'&gt;Daniel Murray&lt;/a&gt;</t>
  </si>
  <si>
    <t xml:space="preserve">Role aligns with ICP Director/Client Services; industry and US location fit; company size matches.</t>
  </si>
  <si>
    <t xml:space="preserve">Ashlyn</t>
  </si>
  <si>
    <t xml:space="preserve">Hughes</t>
  </si>
  <si>
    <t xml:space="preserve">FemFactor Media</t>
  </si>
  <si>
    <t xml:space="preserve">Port Hueneme, California, United States</t>
  </si>
  <si>
    <t xml:space="preserve">https://www.linkedin.com/redir/redirect?url=https://femfactormedia.com/&amp;urlhash=Wt5A&amp;trk=public_profile_topcard-website</t>
  </si>
  <si>
    <t xml:space="preserve">https://www.linkedin.com/in/ashlynhughes/</t>
  </si>
  <si>
    <t xml:space="preserve">https://www.linkedin.com/company/femfactor-media</t>
  </si>
  <si>
    <t xml:space="preserve">Founder @FemFactor Media | Brand Strategist | Empowering Diverse Entrepreneurs to Build Resilient, Profitable Businesses Through Social Media &amp; Storytelling 🚀</t>
  </si>
  <si>
    <t xml:space="preserve">Role aligns with Founder; company size/location match ICP.</t>
  </si>
  <si>
    <t xml:space="preserve">Maxwell</t>
  </si>
  <si>
    <t xml:space="preserve">Veitch</t>
  </si>
  <si>
    <t xml:space="preserve">V&amp;M Systems Group</t>
  </si>
  <si>
    <t xml:space="preserve">https://vmsystemsgrp.netlify.app</t>
  </si>
  <si>
    <t xml:space="preserve">https://www.linkedin.com/in/maxwell-veitch-366427344/</t>
  </si>
  <si>
    <t xml:space="preserve">https://www.linkedin.com/company/vm-systems-group/</t>
  </si>
  <si>
    <t xml:space="preserve">Founder @ V&amp;M Systems Group | Drone ops + AI data applications for roofing, insurance &amp; infrastructure | DC FRZ certified | Mid-Atlantic prime &amp; subcontract partner</t>
  </si>
  <si>
    <t xml:space="preserve">Just engaged with an &lt;a href='https://www.linkedin.com/posts/daniel-murray-marketing_nobody-believes-adjectives-anymore-premium-activity-7478087849314230272-oglM?utm_source=social_share_send&amp;utm_medium=member_desktop_web&amp;rcm=ACoAAGj6alwBzirDu17DJoaD6VIAD2FTGbtG81I' target='_blank'&gt;industry expert&lt;/a&gt;</t>
  </si>
  <si>
    <t xml:space="preserve">CEO role maps to ICP; US location and 11-50 staff align; industry is adjacent.</t>
  </si>
  <si>
    <t xml:space="preserve">Kari</t>
  </si>
  <si>
    <t xml:space="preserve">Walker-Higgins, RID</t>
  </si>
  <si>
    <t xml:space="preserve">Co-Founder + Commercial Interior Designer</t>
  </si>
  <si>
    <t xml:space="preserve">workshop studio</t>
  </si>
  <si>
    <t xml:space="preserve">https://www.linkedin.com/redir/redirect?url=workshopstudio.com&amp;urlhash=fSwF&amp;trk=public_profile_topcard-website</t>
  </si>
  <si>
    <t xml:space="preserve">https://www.linkedin.com/in/kariwalker/</t>
  </si>
  <si>
    <t xml:space="preserve">https://www.linkedin.com/company/workshopstudio</t>
  </si>
  <si>
    <t xml:space="preserve">May 2010 - Present</t>
  </si>
  <si>
    <t xml:space="preserve">Just engaged with a &lt;a href='https://www.linkedin.com/feed/update/urn:li:activity:7496248102555660289/' target='_blank'&gt;LinkedIn post&lt;/a&gt;</t>
  </si>
  <si>
    <t xml:space="preserve">Role maps to Founder; industry and location match; company size slightly outside ICP band.</t>
  </si>
  <si>
    <t xml:space="preserve">2026-08-28 01:14</t>
  </si>
  <si>
    <t xml:space="preserve">Kaitlyn</t>
  </si>
  <si>
    <t xml:space="preserve">Bogner</t>
  </si>
  <si>
    <t xml:space="preserve">The Richland Group, Inc.</t>
  </si>
  <si>
    <t xml:space="preserve">Ann Arbor, Michigan, United States</t>
  </si>
  <si>
    <t xml:space="preserve">https://therichlandgroup.com</t>
  </si>
  <si>
    <t xml:space="preserve">https://www.linkedin.com/in/kaitlyn-bogner</t>
  </si>
  <si>
    <t xml:space="preserve">https://www.linkedin.com/company/therichlandgroup/</t>
  </si>
  <si>
    <t xml:space="preserve">Art Director at The Richland Group, Inc.</t>
  </si>
  <si>
    <t xml:space="preserve">Art Director maps to ICP Design Lead; location and industry align; size close to ICP.</t>
  </si>
  <si>
    <t xml:space="preserve">2026-08-28 01:13</t>
  </si>
  <si>
    <t xml:space="preserve">Spencer</t>
  </si>
  <si>
    <t xml:space="preserve">Ordonez</t>
  </si>
  <si>
    <t xml:space="preserve">Designsteins</t>
  </si>
  <si>
    <t xml:space="preserve">Springdale, Arkansas, United States</t>
  </si>
  <si>
    <t xml:space="preserve">https://designsteins.com</t>
  </si>
  <si>
    <t xml:space="preserve">https://www.linkedin.com/in/spencerordonez</t>
  </si>
  <si>
    <t xml:space="preserve">https://www.linkedin.com/company/designsteins/</t>
  </si>
  <si>
    <t xml:space="preserve">Art Director at Designsteins</t>
  </si>
  <si>
    <t xml:space="preserve">Art Director role maps to ICP; US location; 11–50 staff; Advertising Services aligns with ICP industries.</t>
  </si>
  <si>
    <t xml:space="preserve">Adams</t>
  </si>
  <si>
    <t xml:space="preserve">Vera Creative</t>
  </si>
  <si>
    <t xml:space="preserve">https://veracreative.com</t>
  </si>
  <si>
    <t xml:space="preserve">https://www.linkedin.com/in/ACwAAB9RDpwB3wGNlXunRVM2bdyxoTbFL4UxWR0</t>
  </si>
  <si>
    <t xml:space="preserve">https://www.linkedin.com/company/vera-communications/</t>
  </si>
  <si>
    <t xml:space="preserve">Creative Director at Advertising Services in US matches ICP criteria.</t>
  </si>
  <si>
    <t xml:space="preserve">McMaster</t>
  </si>
  <si>
    <t xml:space="preserve">Signal Factory</t>
  </si>
  <si>
    <t xml:space="preserve">Tulsa Metropolitan Area, United States</t>
  </si>
  <si>
    <t xml:space="preserve">https://thesignalfactory.com</t>
  </si>
  <si>
    <t xml:space="preserve">https://www.linkedin.com/in/madisonmcmaster</t>
  </si>
  <si>
    <t xml:space="preserve">https://www.linkedin.com/company/thesignalfactory/</t>
  </si>
  <si>
    <t xml:space="preserve">Art Director at Signal Factory | Oklahoma State University Alum</t>
  </si>
  <si>
    <t xml:space="preserve">Role maps to ICP and location/company size/industry align with US market.</t>
  </si>
  <si>
    <t xml:space="preserve">Travis</t>
  </si>
  <si>
    <t xml:space="preserve">Mack</t>
  </si>
  <si>
    <t xml:space="preserve">IF STUDIO</t>
  </si>
  <si>
    <t xml:space="preserve">https://ifstudiony.com</t>
  </si>
  <si>
    <t xml:space="preserve">https://www.linkedin.com/in/ACwAAC4hnr4BMw6IRpKhePqt-vkz6P1XHTsaung</t>
  </si>
  <si>
    <t xml:space="preserve">https://www.linkedin.com/company/if-studio/</t>
  </si>
  <si>
    <t xml:space="preserve">Travis is a conceptual art director, creative and brand strategist, designer, and artist, born and raised in Texas, living in Brooklyn, NY, who specializes in crafting visual narratives for luxury and...</t>
  </si>
  <si>
    <t xml:space="preserve">01/9/2022 - now</t>
  </si>
  <si>
    <t xml:space="preserve">Job title maps to ICP role; location and industry align with US advertising/design services.</t>
  </si>
  <si>
    <t xml:space="preserve">Kasparian</t>
  </si>
  <si>
    <t xml:space="preserve">BOND</t>
  </si>
  <si>
    <t xml:space="preserve">El Segundo, California, United States</t>
  </si>
  <si>
    <t xml:space="preserve">https://wearebond.com</t>
  </si>
  <si>
    <t xml:space="preserve">https://www.linkedin.com/in/ACwAAAm-RbkBVzZMHpxK12Aaia3ECLens_xMP8c</t>
  </si>
  <si>
    <t xml:space="preserve">https://www.linkedin.com/company/wearebond/</t>
  </si>
  <si>
    <t xml:space="preserve">Senior Creative and Creative Director with 10+ years of experience leading brand campaigns, visual systems, and content strategy for global entertainment, technology, fashion, and lifestyle brands.
P...</t>
  </si>
  <si>
    <t xml:space="preserve">Senior Art Director at a US advertising agency aligns with the Creative/Art Director ICP roles and US location.</t>
  </si>
  <si>
    <t xml:space="preserve">Jason</t>
  </si>
  <si>
    <t xml:space="preserve">Fang</t>
  </si>
  <si>
    <t xml:space="preserve">https://watson.la</t>
  </si>
  <si>
    <t xml:space="preserve">https://www.linkedin.com/in/jasonfang1227</t>
  </si>
  <si>
    <t xml:space="preserve">https://www.linkedin.com/company/watson-dg/</t>
  </si>
  <si>
    <t xml:space="preserve">Associate Creative Director at Watson Design Group, Inc.</t>
  </si>
  <si>
    <t xml:space="preserve">Role maps to Creative Director lineage; industry and location align with ICP; company size matches.</t>
  </si>
  <si>
    <t xml:space="preserve">Carl</t>
  </si>
  <si>
    <t xml:space="preserve">Cleanthes</t>
  </si>
  <si>
    <t xml:space="preserve">Epic Made</t>
  </si>
  <si>
    <t xml:space="preserve">Hampton Roads, Virginia Metropolitan Area, United States</t>
  </si>
  <si>
    <t xml:space="preserve">https://getepicmade.com</t>
  </si>
  <si>
    <t xml:space="preserve">https://www.linkedin.com/in/ACwAAAISgVMBufXuxbMAzOpJHY0DhVHaaC5YPpo</t>
  </si>
  <si>
    <t xml:space="preserve">https://www.linkedin.com/company/epicmade/</t>
  </si>
  <si>
    <t xml:space="preserve">Artist | Entrepreneur | Creative InstigatorI’m a lifelong artist, storyteller, and entrepreneur. In 2006, I founded Epic Made, a creative studio that has been at the heart of my career ever since.Base...</t>
  </si>
  <si>
    <t xml:space="preserve">5/5/2006 - now</t>
  </si>
  <si>
    <t xml:space="preserve">Founder in US design services, 1-10 employees; location and ICP role align.</t>
  </si>
  <si>
    <t xml:space="preserve">2026-08-28 01:12</t>
  </si>
  <si>
    <t xml:space="preserve">Rick D.</t>
  </si>
  <si>
    <t xml:space="preserve">Smith</t>
  </si>
  <si>
    <t xml:space="preserve">NewsUSA</t>
  </si>
  <si>
    <t xml:space="preserve">Public Relations and Communications Services</t>
  </si>
  <si>
    <t xml:space="preserve">https://newsusa.com</t>
  </si>
  <si>
    <t xml:space="preserve">https://www.linkedin.com/in/ACwAAAACx3cBkp5C686slmuojgY6kiEoTkvGdrM</t>
  </si>
  <si>
    <t xml:space="preserve">https://www.linkedin.com/company/newsusa/</t>
  </si>
  <si>
    <t xml:space="preserve">I'm Rick Smith, the founder of NewsUSA. Since 1980, I've been in the business of building credibility and trust thru media placements, starting with NewsCanada and later launching NewsUSA in 1987.    ...</t>
  </si>
  <si>
    <t xml:space="preserve">2/5/1987 - now</t>
  </si>
  <si>
    <t xml:space="preserve">Role maps to Founder/CEO and location/size match ICP; industry is adjacent, not exact.</t>
  </si>
  <si>
    <t xml:space="preserve">Neil</t>
  </si>
  <si>
    <t xml:space="preserve">Colvin</t>
  </si>
  <si>
    <t xml:space="preserve">Columbus Marketing Experts</t>
  </si>
  <si>
    <t xml:space="preserve">Hilliard, Ohio, United States</t>
  </si>
  <si>
    <t xml:space="preserve">https://columbusmarketingexperts.com</t>
  </si>
  <si>
    <t xml:space="preserve">https://www.linkedin.com/in/ACwAABuLE2kBzvv65hCPYWS7QA3YJ0NVjmkh5qE</t>
  </si>
  <si>
    <t xml:space="preserve">https://www.linkedin.com/company/columbus-marketing-experts/</t>
  </si>
  <si>
    <t xml:space="preserve">I design and build top-ranked WordPress websites and integrate them with Google Business Profiles, social channels, and industry citations. The goal: create sustainable, AI-driven visibility systems b...</t>
  </si>
  <si>
    <t xml:space="preserve">CEO role maps to ICP titles, location and size align with US-based marketing services profile.</t>
  </si>
  <si>
    <t xml:space="preserve">Campbell</t>
  </si>
  <si>
    <t xml:space="preserve">CMO &amp; Founder</t>
  </si>
  <si>
    <t xml:space="preserve">Campbell Consulting</t>
  </si>
  <si>
    <t xml:space="preserve">https://thecampbellconsulting.com</t>
  </si>
  <si>
    <t xml:space="preserve">https://www.linkedin.com/in/ACwAAAAcA_oBr1FcgnIhByCr_2EWD5N2QqzPhfQ</t>
  </si>
  <si>
    <t xml:space="preserve">https://www.linkedin.com/company/thecampbellconsulting/</t>
  </si>
  <si>
    <t xml:space="preserve">I lead go-to-market and revenue alignment as a Portfolio CMO through Campbell Consulting—stepping into senior mandates where companies need clear positioning, demand creation, and executive-level exec...</t>
  </si>
  <si>
    <t xml:space="preserve">Founder role aligns with ICP; industry, size, and US location match.</t>
  </si>
  <si>
    <t xml:space="preserve">Helene</t>
  </si>
  <si>
    <t xml:space="preserve">Parker</t>
  </si>
  <si>
    <t xml:space="preserve">Founder and Host</t>
  </si>
  <si>
    <t xml:space="preserve">Programmatic Digest podcast</t>
  </si>
  <si>
    <t xml:space="preserve">https://heleneparker.com</t>
  </si>
  <si>
    <t xml:space="preserve">https://www.linkedin.com/in/ACwAAArR0KcB-wBIhFiRQTi4hIUxXFiV0piW0pE</t>
  </si>
  <si>
    <t xml:space="preserve">https://www.linkedin.com/company/programmatic-digest-podcast/</t>
  </si>
  <si>
    <t xml:space="preserve">I’m your go-to person for Hands on Keyboard Programmatic Training &amp;amp; Coaching:My goal has always been to make programmatic education and DSP access open to everyone, not just a few.Now, through my ...</t>
  </si>
  <si>
    <t xml:space="preserve">2/6/2019 - now</t>
  </si>
  <si>
    <t xml:space="preserve">Founder role matches ICP title; industry and location align with US Marketing/Advertising; company size fits 2-10 employees.</t>
  </si>
  <si>
    <t xml:space="preserve">Tauhid</t>
  </si>
  <si>
    <t xml:space="preserve">Hasan</t>
  </si>
  <si>
    <t xml:space="preserve">Founder &amp; Head of Creative</t>
  </si>
  <si>
    <t xml:space="preserve">Riveup Digital - UI/UX &amp; Product Design Agency</t>
  </si>
  <si>
    <t xml:space="preserve">https://riveup.com</t>
  </si>
  <si>
    <t xml:space="preserve">https://www.linkedin.com/in/ACwAABQLUyYB0jmCDjzQGghnD58pZzpCYdCIpX4</t>
  </si>
  <si>
    <t xml:space="preserve">https://www.linkedin.com/company/riveup/</t>
  </si>
  <si>
    <t xml:space="preserve">We help startups and growing businesses improve product experience through modern UI/UX design, product strategy, and scalable digital solutions.</t>
  </si>
  <si>
    <t xml:space="preserve">Patrick</t>
  </si>
  <si>
    <t xml:space="preserve">C2 Creative Studio</t>
  </si>
  <si>
    <t xml:space="preserve">La Grange Park, Illinois, United States</t>
  </si>
  <si>
    <t xml:space="preserve">https://c2-cc.com</t>
  </si>
  <si>
    <t xml:space="preserve">https://www.linkedin.com/in/ACwAAABQSykB3qFUgZfHG40cP99Ml7UBY5ZJwU0</t>
  </si>
  <si>
    <t xml:space="preserve">https://www.linkedin.com/company/c2-creative-studio/</t>
  </si>
  <si>
    <t xml:space="preserve">6/01/2010 - now</t>
  </si>
  <si>
    <t xml:space="preserve">Role matches ICP titles; location and industry align with US Design Services.</t>
  </si>
  <si>
    <t xml:space="preserve">Zybin</t>
  </si>
  <si>
    <t xml:space="preserve">MarketMagnetix Media Group</t>
  </si>
  <si>
    <t xml:space="preserve">https://marketmagnetix.agency</t>
  </si>
  <si>
    <t xml:space="preserve">https://www.linkedin.com/in/ACwAAAMvtowB7DQqax9ng6i0PYYib5A_sEVO7UM</t>
  </si>
  <si>
    <t xml:space="preserve">https://www.linkedin.com/company/marketmagnetix-agency/</t>
  </si>
  <si>
    <t xml:space="preserve">Founder &amp; CEO at MarketMagnetix Media Group
We transform businesses with AI optimization and digital marketing strategies designed specifically for manufacturing, professional services, healthcare, a...</t>
  </si>
  <si>
    <t xml:space="preserve">4/2/2017 - now</t>
  </si>
  <si>
    <t xml:space="preserve">Founder aligns with ICP; industry matches Advertising Services; location in US; company size slightly below ICP band.</t>
  </si>
  <si>
    <t xml:space="preserve">Kinney</t>
  </si>
  <si>
    <t xml:space="preserve">Founder, Client Success Officer</t>
  </si>
  <si>
    <t xml:space="preserve">Dream Local Digital</t>
  </si>
  <si>
    <t xml:space="preserve">Newburyport, Massachusetts, United States</t>
  </si>
  <si>
    <t xml:space="preserve">https://dreamlocal.com</t>
  </si>
  <si>
    <t xml:space="preserve">https://www.linkedin.com/in/ACwAAAAAlVABCB7nV5ihOjacha9FE4Li_2dy3aQ</t>
  </si>
  <si>
    <t xml:space="preserve">https://www.linkedin.com/company/dream-local-digital/</t>
  </si>
  <si>
    <t xml:space="preserve">For more than 30 years, I have worked at the intersection of marketing, media, technology, and entrepreneurship. Along the way, I have helped more than 90,000 businesses and organizations grow, adapt,...</t>
  </si>
  <si>
    <t xml:space="preserve">2/11/2008 - now</t>
  </si>
  <si>
    <t xml:space="preserve">Founder role aligns with ICP; industry matches Advertising Services; location and size match US-based target.</t>
  </si>
  <si>
    <t xml:space="preserve">Prince</t>
  </si>
  <si>
    <t xml:space="preserve">Beyond Design, Inc.</t>
  </si>
  <si>
    <t xml:space="preserve">https://beyonddesign.com</t>
  </si>
  <si>
    <t xml:space="preserve">https://www.linkedin.com/in/ACwAAAEFlxMBMilysOh7eWmgmokSiebKi4Novlw</t>
  </si>
  <si>
    <t xml:space="preserve">https://www.linkedin.com/company/beyond-design-inc/</t>
  </si>
  <si>
    <t xml:space="preserve">Over the past 32+ years, I have been deeply involved in the product development industry. After earning a Bachelor’s degree in Industrial and Product Design at Syracuse University, I started my career...</t>
  </si>
  <si>
    <t xml:space="preserve">01/01/1994 - now</t>
  </si>
  <si>
    <t xml:space="preserve">Role and company/location align strongly with ICP; all key attributes match.</t>
  </si>
  <si>
    <t xml:space="preserve">Roth</t>
  </si>
  <si>
    <t xml:space="preserve">Built By Roth</t>
  </si>
  <si>
    <t xml:space="preserve">East Greenville, Pennsylvania, United States</t>
  </si>
  <si>
    <t xml:space="preserve">https://builtbyroth.com</t>
  </si>
  <si>
    <t xml:space="preserve">https://www.linkedin.com/in/ACwAAA6YG8EBeEWRlpXrY3PMM2g7x5wxxpryCso</t>
  </si>
  <si>
    <t xml:space="preserve">https://www.linkedin.com/company/built-by-roth/</t>
  </si>
  <si>
    <t xml:space="preserve">I’ve spent my career helping organizations grow, navigate change, build partnerships, improve systems, and turn ideas into functioning operations.My background spans business consulting, technology, r...</t>
  </si>
  <si>
    <t xml:space="preserve">Founder of a US-based advertising services company aligns with the ICP.</t>
  </si>
  <si>
    <t xml:space="preserve">Whitfield</t>
  </si>
  <si>
    <t xml:space="preserve">CMM</t>
  </si>
  <si>
    <t xml:space="preserve">Phoenix, Arizona, United States</t>
  </si>
  <si>
    <t xml:space="preserve">https://contentmarketingmedia.org</t>
  </si>
  <si>
    <t xml:space="preserve">https://www.linkedin.com/in/ACwAAAY28EkBWPlK4tINJNjX0Uv-AHxPzbNlhDY</t>
  </si>
  <si>
    <t xml:space="preserve">https://www.linkedin.com/company/contentmarketingmedia/</t>
  </si>
  <si>
    <t xml:space="preserve">Besides building and launching Signaliz.com, at CMM we are proud to be the only known company globally with certified expertise in Clay, Instantly, Hey Reach, Octave and Maildoso: The five cornerstone...</t>
  </si>
  <si>
    <t xml:space="preserve">Founder at an Advertising Services firm in the US aligns with ICP.</t>
  </si>
  <si>
    <t xml:space="preserve">Tonny</t>
  </si>
  <si>
    <t xml:space="preserve">Ma</t>
  </si>
  <si>
    <t xml:space="preserve">Fractional Design Director</t>
  </si>
  <si>
    <t xml:space="preserve">Olivine Marketing</t>
  </si>
  <si>
    <t xml:space="preserve">https://olivinemarketing.com</t>
  </si>
  <si>
    <t xml:space="preserve">https://www.linkedin.com/in/ACwAAAGFuOsB6S4RVEsruBVI-TfrsDdWCg9ubF4</t>
  </si>
  <si>
    <t xml:space="preserve">https://www.linkedin.com/company/olivine-marketing/</t>
  </si>
  <si>
    <t xml:space="preserve">Most startups don't struggle with execution. They struggle with knowing what good execution looks like.  AI makes it easy to build fast. But speed without experience shows. Products and companies end ...</t>
  </si>
  <si>
    <t xml:space="preserve">Role maps to Design Lead; industry aligns with ICP; US location; 11-50 employees.</t>
  </si>
  <si>
    <t xml:space="preserve">Czarnecki</t>
  </si>
  <si>
    <t xml:space="preserve">Founder + Chief Strategist</t>
  </si>
  <si>
    <t xml:space="preserve">Say Hey Social</t>
  </si>
  <si>
    <t xml:space="preserve">https://skrobinson.com</t>
  </si>
  <si>
    <t xml:space="preserve">https://www.linkedin.com/in/nicoleczarnecki/</t>
  </si>
  <si>
    <t xml:space="preserve">https://www.linkedin.com/company/say-hey-social/</t>
  </si>
  <si>
    <t xml:space="preserve">CPG Brand Marketing Leader</t>
  </si>
  <si>
    <t xml:space="preserve">Founder in Advertising Services NYC aligns with ICP, role maps to Founder, size is one band smaller but acceptable.</t>
  </si>
  <si>
    <t xml:space="preserve">2026-08-27 22:07</t>
  </si>
  <si>
    <t xml:space="preserve">Heather</t>
  </si>
  <si>
    <t xml:space="preserve">Heddens</t>
  </si>
  <si>
    <t xml:space="preserve">https://www.linkedin.com/in/heatherheddens</t>
  </si>
  <si>
    <t xml:space="preserve">DTC Performance Creative Specialist</t>
  </si>
  <si>
    <t xml:space="preserve">Creative Director in US advertising/design services aligns with ICP; location matches; company size slightly below ICP bands.</t>
  </si>
  <si>
    <t xml:space="preserve">Whalen</t>
  </si>
  <si>
    <t xml:space="preserve">print-ability™</t>
  </si>
  <si>
    <t xml:space="preserve">print-ability.com</t>
  </si>
  <si>
    <t xml:space="preserve">https://www.linkedin.com/in/russellwhalen/</t>
  </si>
  <si>
    <t xml:space="preserve">https://linkedin.com/company/5878317</t>
  </si>
  <si>
    <t xml:space="preserve">Brand Packaging Production Partner | Founder @ print-ability™</t>
  </si>
  <si>
    <t xml:space="preserve">Just engaged with a &lt;a href='https://www.linkedin.com/feed/update/urn:li:activity:7495888486609113089/' target='_blank'&gt;LinkedIn post&lt;/a&gt;</t>
  </si>
  <si>
    <t xml:space="preserve">Founder aligns with ICP role; geography and industry are a strong fit.</t>
  </si>
  <si>
    <t xml:space="preserve">2026-08-27 17:39</t>
  </si>
  <si>
    <t xml:space="preserve">Elnar</t>
  </si>
  <si>
    <t xml:space="preserve">President of the Board of Directors</t>
  </si>
  <si>
    <t xml:space="preserve">AIGA Design</t>
  </si>
  <si>
    <t xml:space="preserve">https://www.tiktok.com/@rachandcharbear</t>
  </si>
  <si>
    <t xml:space="preserve">https://www.linkedin.com/in/rachelelnar/</t>
  </si>
  <si>
    <t xml:space="preserve">https://linkedin.com/company/14304</t>
  </si>
  <si>
    <t xml:space="preserve">Experience Strategist &amp; Creative Producer | Events, Education &amp; Community | AIGA National President</t>
  </si>
  <si>
    <t xml:space="preserve">07/01/2026 - Present</t>
  </si>
  <si>
    <t xml:space="preserve">Just engaged with a &lt;a href='https://www.linkedin.com/feed/update/urn:li:activity:7498126411711430657/' target='_blank'&gt;LinkedIn post&lt;/a&gt;</t>
  </si>
  <si>
    <t xml:space="preserve">Role aligns with ICP; location and company size fit US design org.</t>
  </si>
  <si>
    <t xml:space="preserve">Campanis</t>
  </si>
  <si>
    <t xml:space="preserve">Industry of Hues™</t>
  </si>
  <si>
    <t xml:space="preserve">industryofhues.com</t>
  </si>
  <si>
    <t xml:space="preserve">https://www.linkedin.com/in/alexis-campanis-b558672/</t>
  </si>
  <si>
    <t xml:space="preserve">https://linkedin.com/company/35461645</t>
  </si>
  <si>
    <t xml:space="preserve">Creative Director, Founder (Industry of Hues™) &amp; Design Educator</t>
  </si>
  <si>
    <t xml:space="preserve">12/01/2016 - Present</t>
  </si>
  <si>
    <t xml:space="preserve">Role aligns with ICP (Founder/Creative Director) in Design Services; US location; company size close to ICP.</t>
  </si>
  <si>
    <t xml:space="preserve">Cacci</t>
  </si>
  <si>
    <t xml:space="preserve">Principal Consultant / Founder</t>
  </si>
  <si>
    <t xml:space="preserve">CACCICO, LLC</t>
  </si>
  <si>
    <t xml:space="preserve">https://www.linkedin.com/redir/redirect?url=https://caccico.com&amp;urlhash=b2a5&amp;trk=public_profile_website</t>
  </si>
  <si>
    <t xml:space="preserve">https://www.linkedin.com/in/chriscacci/</t>
  </si>
  <si>
    <t xml:space="preserve">https://www.linkedin.com/company/caccico</t>
  </si>
  <si>
    <t xml:space="preserve">Design Director. Creative Strategist. Brand &amp; Digital Team Lead.</t>
  </si>
  <si>
    <t xml:space="preserve">Founder role aligns with ICP; location in US; industry Design Services; company size is close to ICP.</t>
  </si>
  <si>
    <t xml:space="preserve">Jana</t>
  </si>
  <si>
    <t xml:space="preserve">Devan</t>
  </si>
  <si>
    <t xml:space="preserve">Zettist | Content Marketing House</t>
  </si>
  <si>
    <t xml:space="preserve">http://www.zettist.com</t>
  </si>
  <si>
    <t xml:space="preserve">https://www.linkedin.com/in/janadevan/</t>
  </si>
  <si>
    <t xml:space="preserve">https://linkedin.com/company/12331338</t>
  </si>
  <si>
    <t xml:space="preserve">CEO @ Zettist + Devan Properties 🖇️</t>
  </si>
  <si>
    <t xml:space="preserve">07/01/2016 - Present</t>
  </si>
  <si>
    <t xml:space="preserve">Founder aligns with ICP titles; advertising services industry fits; location matches US; company size slightly small for ICP band.</t>
  </si>
  <si>
    <t xml:space="preserve">Ryan</t>
  </si>
  <si>
    <t xml:space="preserve">Black</t>
  </si>
  <si>
    <t xml:space="preserve">Managing Partner &amp; Creative Director</t>
  </si>
  <si>
    <t xml:space="preserve">Alchemic</t>
  </si>
  <si>
    <t xml:space="preserve">Cincinnati Metropolitan Area, United States</t>
  </si>
  <si>
    <t xml:space="preserve">https://alchemic.agency</t>
  </si>
  <si>
    <t xml:space="preserve">https://www.linkedin.com/in/ryanblackdotorg/</t>
  </si>
  <si>
    <t xml:space="preserve">https://www.linkedin.com/company/alchemicagency</t>
  </si>
  <si>
    <t xml:space="preserve">Managing Partner at Alchemic | Brand Strategy | Operations | Business Development</t>
  </si>
  <si>
    <t xml:space="preserve">Role maps to Creative Director; located in US, 2-10 staff fits ICP.</t>
  </si>
  <si>
    <t xml:space="preserve">Krista</t>
  </si>
  <si>
    <t xml:space="preserve">Oraa</t>
  </si>
  <si>
    <t xml:space="preserve">Head of Design</t>
  </si>
  <si>
    <t xml:space="preserve">co:collective</t>
  </si>
  <si>
    <t xml:space="preserve">https://www.linkedin.com/in/krista-oraa-5a2a93a/</t>
  </si>
  <si>
    <t xml:space="preserve">https://linkedin.com/company/1240327</t>
  </si>
  <si>
    <t xml:space="preserve">Creative Director + Brand Consultant</t>
  </si>
  <si>
    <t xml:space="preserve">07/01/2025 - Present</t>
  </si>
  <si>
    <t xml:space="preserve">Role aligns with ICP design leadership in NY; company size fits; industry is adjacent to ICP.</t>
  </si>
  <si>
    <t xml:space="preserve">N'Deye</t>
  </si>
  <si>
    <t xml:space="preserve">M'Baye</t>
  </si>
  <si>
    <t xml:space="preserve">CodouxStudios</t>
  </si>
  <si>
    <t xml:space="preserve">https://www.linkedin.com/in/ndeyembaye</t>
  </si>
  <si>
    <t xml:space="preserve">Advertising &amp; Branding | Art Direction |Editorial Photography | 
Student at the Savannah College of Art and Design</t>
  </si>
  <si>
    <t xml:space="preserve">2026-08-27 15:22</t>
  </si>
  <si>
    <t xml:space="preserve">Tom</t>
  </si>
  <si>
    <t xml:space="preserve">Sullivan</t>
  </si>
  <si>
    <t xml:space="preserve">Creative Director/Art director</t>
  </si>
  <si>
    <t xml:space="preserve">Antidote</t>
  </si>
  <si>
    <t xml:space="preserve">https://findtheantidote.com</t>
  </si>
  <si>
    <t xml:space="preserve">https://www.linkedin.com/in/tom-sullivan-837b735</t>
  </si>
  <si>
    <t xml:space="preserve">https://www.linkedin.com/company/findtheantidote/</t>
  </si>
  <si>
    <t xml:space="preserve">Award-Winning Group Creative Director | Brand Builder | Designer | 360 Digital + Social Media | Mentor</t>
  </si>
  <si>
    <t xml:space="preserve">Beaty</t>
  </si>
  <si>
    <t xml:space="preserve">Creative Director/ Art Director </t>
  </si>
  <si>
    <t xml:space="preserve">CALLEN</t>
  </si>
  <si>
    <t xml:space="preserve">Kirkland, Washington, United States</t>
  </si>
  <si>
    <t xml:space="preserve">https://thisiscallen.com</t>
  </si>
  <si>
    <t xml:space="preserve">https://www.linkedin.com/in/brett-beaty-b17a635</t>
  </si>
  <si>
    <t xml:space="preserve">https://www.linkedin.com/company/thisiscallen/</t>
  </si>
  <si>
    <t xml:space="preserve">Creative Director at CALLEN</t>
  </si>
  <si>
    <t xml:space="preserve">Darcey</t>
  </si>
  <si>
    <t xml:space="preserve">Ohlin Lacy</t>
  </si>
  <si>
    <t xml:space="preserve">Watermark Design</t>
  </si>
  <si>
    <t xml:space="preserve">Greater Charlottesville Area</t>
  </si>
  <si>
    <t xml:space="preserve">https://www.linkedin.com/redir/redirect?url=https://watermark.design&amp;urlhash=_Bhs&amp;trk=public_profile_website</t>
  </si>
  <si>
    <t xml:space="preserve">https://www.linkedin.com/in/watermarkdesign</t>
  </si>
  <si>
    <t xml:space="preserve">https://www.linkedin.com/company/watermark-design</t>
  </si>
  <si>
    <t xml:space="preserve">Founder &amp; Creative Director @ Watermark Design</t>
  </si>
  <si>
    <t xml:space="preserve">Bauhs</t>
  </si>
  <si>
    <t xml:space="preserve">Art Director / Creative Director</t>
  </si>
  <si>
    <t xml:space="preserve">Bauhs Creative Group</t>
  </si>
  <si>
    <t xml:space="preserve">https://bauhscreative.com</t>
  </si>
  <si>
    <t xml:space="preserve">https://www.linkedin.com/in/mark-bauhs</t>
  </si>
  <si>
    <t xml:space="preserve">https://www.linkedin.com/company/bauhs-creative-group/</t>
  </si>
  <si>
    <t xml:space="preserve">Art Director, Web Designer, Graphic Designer, Bauhs Creative Group</t>
  </si>
  <si>
    <t xml:space="preserve">4/7/2007 - now</t>
  </si>
  <si>
    <t xml:space="preserve">Randy</t>
  </si>
  <si>
    <t xml:space="preserve">Chase</t>
  </si>
  <si>
    <t xml:space="preserve">Chief Strategy Officer (CSO)</t>
  </si>
  <si>
    <t xml:space="preserve">Rocket Chimp</t>
  </si>
  <si>
    <t xml:space="preserve">Windermere, Florida, United States</t>
  </si>
  <si>
    <t xml:space="preserve">https://rocketchimp.com</t>
  </si>
  <si>
    <t xml:space="preserve">https://www.linkedin.com/in/randychase1/</t>
  </si>
  <si>
    <t xml:space="preserve">https://www.linkedin.com/company/rocket-chimp/</t>
  </si>
  <si>
    <t xml:space="preserve">Co-Founder &amp; Chief Strategy Officer, Rocket Chimp | Marketing, Brand &amp; Partnerships Executive | Former EA SPORTS Senior Director</t>
  </si>
  <si>
    <t xml:space="preserve">3/9/2019 - now</t>
  </si>
  <si>
    <t xml:space="preserve">Just engaged with a &lt;a href='https://www.linkedin.com/feed/update/urn:li:activity:7495867944607047680/' target='_blank'&gt;LinkedIn post&lt;/a&gt;</t>
  </si>
  <si>
    <t xml:space="preserve">Role maps to Founder; location and industry align with ICP; strong fit.</t>
  </si>
  <si>
    <t xml:space="preserve">2026-08-27 09:49</t>
  </si>
  <si>
    <t xml:space="preserve">LI IORDANOV</t>
  </si>
  <si>
    <t xml:space="preserve">Head of Creative</t>
  </si>
  <si>
    <t xml:space="preserve">HOUSE OF JUNE™</t>
  </si>
  <si>
    <t xml:space="preserve">https://houseofjune.net</t>
  </si>
  <si>
    <t xml:space="preserve">https://www.linkedin.com/in/liiordanovdan</t>
  </si>
  <si>
    <t xml:space="preserve">https://www.linkedin.com/company/house-of-june/</t>
  </si>
  <si>
    <t xml:space="preserve">Head of Creative at HOUSE OF JUNE™ | Bridging creative judgment, garment expertise, production experience, and technology to rethink how fashion products are developed and experienced.</t>
  </si>
  <si>
    <t xml:space="preserve">1/01/2017 - now</t>
  </si>
  <si>
    <t xml:space="preserve">Role maps to ICP title and location/size align.</t>
  </si>
  <si>
    <t xml:space="preserve">2026-08-27 08:43</t>
  </si>
  <si>
    <t xml:space="preserve">Sally</t>
  </si>
  <si>
    <t xml:space="preserve">Sherry</t>
  </si>
  <si>
    <t xml:space="preserve">Founder Media Strategy Experts - Strategic Communications, Media &amp; Presentation Coaching</t>
  </si>
  <si>
    <t xml:space="preserve">Media Strategy Experts</t>
  </si>
  <si>
    <t xml:space="preserve">San Diego Metropolitan Area</t>
  </si>
  <si>
    <t xml:space="preserve">http://mediastrategyexperts.com</t>
  </si>
  <si>
    <t xml:space="preserve">https://www.linkedin.com/in/sallysherry/</t>
  </si>
  <si>
    <t xml:space="preserve">https://linkedin.com/company/2696567</t>
  </si>
  <si>
    <t xml:space="preserve">Executive Media &amp; Presentation Coach | Partner to IR &amp; Comms Leaders | Turning High‑Stakes Moments into Wins</t>
  </si>
  <si>
    <t xml:space="preserve">10/01/2010 - Present</t>
  </si>
  <si>
    <t xml:space="preserve">Just engaged with a &lt;a href='https://www.linkedin.com/feed/update/urn:li:activity:7497712843186814976/' target='_blank'&gt;LinkedIn post&lt;/a&gt;</t>
  </si>
  <si>
    <t xml:space="preserve">Founder role fits; industry adjacent; company size slightly below ICP; US location matches.</t>
  </si>
  <si>
    <t xml:space="preserve">Laurie</t>
  </si>
  <si>
    <t xml:space="preserve">Creative Manager</t>
  </si>
  <si>
    <t xml:space="preserve">AIA Effective Promos</t>
  </si>
  <si>
    <t xml:space="preserve">Webster, Florida, United States</t>
  </si>
  <si>
    <t xml:space="preserve">https://effectivepromos.com</t>
  </si>
  <si>
    <t xml:space="preserve">https://www.linkedin.com/in/laurie-j-296a2a240</t>
  </si>
  <si>
    <t xml:space="preserve">https://www.linkedin.com/company/aia-effective-promos/</t>
  </si>
  <si>
    <t xml:space="preserve">Creative Manager at Effective Promos/Certified Masterson Method Equine Bodyworker</t>
  </si>
  <si>
    <t xml:space="preserve">4/4/2024 - now</t>
  </si>
  <si>
    <t xml:space="preserve">Just engaged with a &lt;a href='https://www.linkedin.com/posts/99designs_hairdresser-logos-activity-7482207716925702144-SG7V?utm_source=social_share_send&amp;utm_medium=member_desktop_web&amp;rcm=ACoAAF7-kUABQIyc0Wf4Oqy7fEX7dd0lLoEzwiU' target='_blank'&gt;competitor&lt;/a&gt;</t>
  </si>
  <si>
    <t xml:space="preserve">Creative Manager aligns with senior creative leadership in US Advertising Services.</t>
  </si>
  <si>
    <t xml:space="preserve">2026-08-26 22:32</t>
  </si>
  <si>
    <t xml:space="preserve">Camilo</t>
  </si>
  <si>
    <t xml:space="preserve">Marino</t>
  </si>
  <si>
    <t xml:space="preserve">Atanor Creative</t>
  </si>
  <si>
    <t xml:space="preserve">https://atanorcreative.com</t>
  </si>
  <si>
    <t xml:space="preserve">https://www.linkedin.com/in/camilomarino11</t>
  </si>
  <si>
    <t xml:space="preserve">https://www.linkedin.com/company/atanor-creative/</t>
  </si>
  <si>
    <t xml:space="preserve">Art/Marketing Director | Brand Strategist | AI Enthusiast | Digital Artist | Crypto &amp; Blockchain Alchemist | Creative Designer | Entrepreneur</t>
  </si>
  <si>
    <t xml:space="preserve">2/5/2020 - now</t>
  </si>
  <si>
    <t xml:space="preserve">2026-08-26 19:37</t>
  </si>
  <si>
    <t xml:space="preserve">Fernanda</t>
  </si>
  <si>
    <t xml:space="preserve">Steinmann</t>
  </si>
  <si>
    <t xml:space="preserve">Steinmann Studio</t>
  </si>
  <si>
    <t xml:space="preserve">https://steinmann.studio</t>
  </si>
  <si>
    <t xml:space="preserve">https://www.linkedin.com/in/fsteinmann</t>
  </si>
  <si>
    <t xml:space="preserve">https://www.linkedin.com/company/steinmann-studio/</t>
  </si>
  <si>
    <t xml:space="preserve">Creative/Art Director | Strategy, Branding, Photography &amp; Video Direction | Luxury Fashion &amp; Lifestyle | Team Mentorship</t>
  </si>
  <si>
    <t xml:space="preserve">4/4/2013 - now</t>
  </si>
  <si>
    <t xml:space="preserve">Angeles</t>
  </si>
  <si>
    <t xml:space="preserve">Moreno</t>
  </si>
  <si>
    <t xml:space="preserve">Founder &amp; Creative Art Director</t>
  </si>
  <si>
    <t xml:space="preserve">Angeles Moreno Design</t>
  </si>
  <si>
    <t xml:space="preserve">Santa Cruz, California, United States</t>
  </si>
  <si>
    <t xml:space="preserve">https://anaimation.design</t>
  </si>
  <si>
    <t xml:space="preserve">https://www.linkedin.com/in/angeles-moreno</t>
  </si>
  <si>
    <t xml:space="preserve">https://www.linkedin.com/company/angeles-moreno-design/</t>
  </si>
  <si>
    <t xml:space="preserve">Art Director &amp; Brand Designer | Studio Founder</t>
  </si>
  <si>
    <t xml:space="preserve">4/01/2003 - now</t>
  </si>
  <si>
    <t xml:space="preserve">Perlstein</t>
  </si>
  <si>
    <t xml:space="preserve">Intercross</t>
  </si>
  <si>
    <t xml:space="preserve">Greater Asheville, United States</t>
  </si>
  <si>
    <t xml:space="preserve">https://intercross.com</t>
  </si>
  <si>
    <t xml:space="preserve">https://www.linkedin.com/in/jeff-perlstein-688ba27</t>
  </si>
  <si>
    <t xml:space="preserve">https://www.linkedin.com/company/intercross/</t>
  </si>
  <si>
    <t xml:space="preserve">Art Director / Creative Director at INTERCROSS</t>
  </si>
  <si>
    <t xml:space="preserve">Megan</t>
  </si>
  <si>
    <t xml:space="preserve">Gallimore</t>
  </si>
  <si>
    <t xml:space="preserve">Creative Director, Art</t>
  </si>
  <si>
    <t xml:space="preserve">PJA Marketing + Advertising</t>
  </si>
  <si>
    <t xml:space="preserve">https://agencypja.com</t>
  </si>
  <si>
    <t xml:space="preserve">https://www.linkedin.com/in/megan-gallimore</t>
  </si>
  <si>
    <t xml:space="preserve">https://www.linkedin.com/company/pja-advertising---marketing/</t>
  </si>
  <si>
    <t xml:space="preserve">Creative Director at PJA</t>
  </si>
  <si>
    <t xml:space="preserve">Jeremy</t>
  </si>
  <si>
    <t xml:space="preserve">Wilson</t>
  </si>
  <si>
    <t xml:space="preserve">Interact</t>
  </si>
  <si>
    <t xml:space="preserve">https://www.linkedin.com/in/jeremywilson16</t>
  </si>
  <si>
    <t xml:space="preserve">https://linkedin.com/company/3966628</t>
  </si>
  <si>
    <t xml:space="preserve">Director of Creative Services at Interact Brands</t>
  </si>
  <si>
    <t xml:space="preserve">Frances</t>
  </si>
  <si>
    <t xml:space="preserve">Ward</t>
  </si>
  <si>
    <t xml:space="preserve">Director of Creative &amp; Client Services</t>
  </si>
  <si>
    <t xml:space="preserve">Prolific Digital</t>
  </si>
  <si>
    <t xml:space="preserve">Louisville Metropolitan Area, United States</t>
  </si>
  <si>
    <t xml:space="preserve">https://prolificdigital.com</t>
  </si>
  <si>
    <t xml:space="preserve">https://www.linkedin.com/in/frances-ward-0748174</t>
  </si>
  <si>
    <t xml:space="preserve">https://www.linkedin.com/company/hey-prolific/</t>
  </si>
  <si>
    <t xml:space="preserve">Creative Direction + Art Direction + Graphic Design</t>
  </si>
  <si>
    <t xml:space="preserve">Alec</t>
  </si>
  <si>
    <t xml:space="preserve">Paul</t>
  </si>
  <si>
    <t xml:space="preserve">SalesBrand</t>
  </si>
  <si>
    <t xml:space="preserve">https://forms.gle</t>
  </si>
  <si>
    <t xml:space="preserve">https://www.linkedin.com/in/alecjpaul/</t>
  </si>
  <si>
    <t xml:space="preserve">https://www.linkedin.com/company/salesbrand/</t>
  </si>
  <si>
    <t xml:space="preserve">Founder @ SalesBrand | LinkedIn executive brand and content consultancy | Over half a billion organic LinkedIn views</t>
  </si>
  <si>
    <t xml:space="preserve">Just engaged with an &lt;a href='https://www.linkedin.com/posts/thechrisdo_interview-with-a-ceo-daniel-shapero-part-activity-7482873088737427456-1xQj?utm_source=social_share_send&amp;utm_medium=member_desktop_web&amp;rcm=ACoAAF8KYYYBS3BL3g5Yn8AFqMfGCvxYljzLzl4' target='_blank'&gt;industry expert&lt;/a&gt;</t>
  </si>
  <si>
    <t xml:space="preserve">Founder maps to ICP; US location; size near target; strong industry fit.</t>
  </si>
  <si>
    <t xml:space="preserve">2026-08-26 16:16</t>
  </si>
  <si>
    <t xml:space="preserve">Peter Jude</t>
  </si>
  <si>
    <t xml:space="preserve">Ricciardi</t>
  </si>
  <si>
    <t xml:space="preserve">Founder, Chief Creative Officer, Fog Cutter</t>
  </si>
  <si>
    <t xml:space="preserve">Brandartica</t>
  </si>
  <si>
    <t xml:space="preserve">https://brandartica.agency</t>
  </si>
  <si>
    <t xml:space="preserve">https://www.linkedin.com/in/peterjudericciardi</t>
  </si>
  <si>
    <t xml:space="preserve">https://www.linkedin.com/company/brandartica/</t>
  </si>
  <si>
    <t xml:space="preserve">I make companies, products &amp; services believable in 3 seconds. | Lock Story-to-Signal™: Dig → Distill → Amplify | Clarity installed where buyers decide, so you earn trust at first contact.</t>
  </si>
  <si>
    <t xml:space="preserve">Just engaged with the industry expert &lt;a href='https://www.linkedin.com/posts/thechrisdo_interview-with-a-ceo-daniel-shapero-part-activity-7482873088737427456-1xQj?utm_source=social_share_send&amp;utm_medium=member_desktop_web&amp;rcm=ACoAAF8KYYYBS3BL3g5Yn8AFqMfGCvxYljzLzl4' target='_blank'&gt;Chris Do&lt;/a&gt;</t>
  </si>
  <si>
    <t xml:space="preserve">Founder role aligns with ICP and the company/industry/location fit the target profile.</t>
  </si>
  <si>
    <t xml:space="preserve">Scott David</t>
  </si>
  <si>
    <t xml:space="preserve">Wabu Creative</t>
  </si>
  <si>
    <t xml:space="preserve">https://wabucreative.com</t>
  </si>
  <si>
    <t xml:space="preserve">https://www.linkedin.com/in/scottdavidmartinvideo</t>
  </si>
  <si>
    <t xml:space="preserve">https://www.linkedin.com/company/wabucreative/</t>
  </si>
  <si>
    <t xml:space="preserve">🧭 Expedition Video Partner · WABU Founder · Adobe MAX speaker</t>
  </si>
  <si>
    <t xml:space="preserve">Founder at a US-based creative agency aligns with ICP in Advertising/Design Services.</t>
  </si>
  <si>
    <t xml:space="preserve">Darya</t>
  </si>
  <si>
    <t xml:space="preserve">Shamihava</t>
  </si>
  <si>
    <t xml:space="preserve">Founder &amp; CEO </t>
  </si>
  <si>
    <t xml:space="preserve">ApostrofSoft</t>
  </si>
  <si>
    <t xml:space="preserve">https://apostrofsoft.com</t>
  </si>
  <si>
    <t xml:space="preserve">https://www.linkedin.com/in/apostrofsoft</t>
  </si>
  <si>
    <t xml:space="preserve">https://www.linkedin.com/company/apostrofsoft/</t>
  </si>
  <si>
    <t xml:space="preserve">Angel Investor &amp; Tech Entrepreneur | Helping founders turn ideas into fundable businesses | 15 years in product &amp; scale</t>
  </si>
  <si>
    <t xml:space="preserve">01/3/2017 - now</t>
  </si>
  <si>
    <t xml:space="preserve">Founder &amp; CEO role aligns with ICP; industry is adjacent (software) rather than core Marketing/Design Services; company size and location match.</t>
  </si>
  <si>
    <t xml:space="preserve">Rehan</t>
  </si>
  <si>
    <t xml:space="preserve">Pallithotungal </t>
  </si>
  <si>
    <t xml:space="preserve">Ray Motion Films</t>
  </si>
  <si>
    <t xml:space="preserve">Princeton, New Jersey, United States</t>
  </si>
  <si>
    <t xml:space="preserve">https://raycreativemarketing.com</t>
  </si>
  <si>
    <t xml:space="preserve">https://www.linkedin.com/in/rehan-pallithotungal-6704231b3</t>
  </si>
  <si>
    <t xml:space="preserve">https://www.linkedin.com/company/ray-motion-films/</t>
  </si>
  <si>
    <t xml:space="preserve">I Help 7-Figure Tax Firms Turn Video Content Into Revenue | Clients seen on Intuit, ABC, PBS, CBS, GoodRx, &amp; Shark Tank</t>
  </si>
  <si>
    <t xml:space="preserve">Just engaged with the industry expert &lt;a href='https://www.linkedin.com/posts/thechrisdo_i-wanted-to-tell-you-sooner-while-at-cannes-activity-7482518585957900288--ASj?utm_source=social_share_send&amp;utm_medium=member_desktop_web&amp;rcm=ACoAAF8KYYYBS3BL3g5Yn8AFqMfGCvxYljzLzl4' target='_blank'&gt;Chris Do&lt;/a&gt;</t>
  </si>
  <si>
    <t xml:space="preserve">Founder/Creative Director in US with small 2-10 staff, US location aligns with ICP and industry loosely adjacent to Marketing/Design.</t>
  </si>
  <si>
    <t xml:space="preserve">Carter</t>
  </si>
  <si>
    <t xml:space="preserve">President, CEO, and Chief Thinker</t>
  </si>
  <si>
    <t xml:space="preserve">THINK Creative Intelligence / Think Webstore</t>
  </si>
  <si>
    <t xml:space="preserve">Ridgeland, Mississippi, United States</t>
  </si>
  <si>
    <t xml:space="preserve">https://thinkwebstore.com</t>
  </si>
  <si>
    <t xml:space="preserve">https://www.linkedin.com/in/bryan-carter-281585/</t>
  </si>
  <si>
    <t xml:space="preserve">https://www.linkedin.com/company/thinkwebstore.com/</t>
  </si>
  <si>
    <t xml:space="preserve">Behavioral Strategist CEO || GTM || Turnaround Projects || Strategy First Consulting || Strategy​&gt;Design​&gt;Action​&gt;Growth || Market Makers || Leadership Consulting || Get unstuck || Compete without Competing</t>
  </si>
  <si>
    <t xml:space="preserve">01/11/2007 - now</t>
  </si>
  <si>
    <t xml:space="preserve">Just engaged with an &lt;a href='https://www.linkedin.com/posts/richcardona_no-one-loves-to-help-entrepreneurs-more-than-ugcPost-7496242466849935360-hLpG?utm_source=social_share_send&amp;utm_medium=member_desktop_web&amp;rcm=ACoAAF8KYYYBS3BL3g5Yn8AFqMfGCvxYljzLzl4' target='_blank'&gt;industry expert&lt;/a&gt;</t>
  </si>
  <si>
    <t xml:space="preserve">Role matches ICP leadership; company aligns with ICP industry, size, and US location.</t>
  </si>
  <si>
    <t xml:space="preserve">Brad</t>
  </si>
  <si>
    <t xml:space="preserve">AutomationLinks</t>
  </si>
  <si>
    <t xml:space="preserve">https://www.automationlinks.com</t>
  </si>
  <si>
    <t xml:space="preserve">https://www.linkedin.com/in/hylthlink/</t>
  </si>
  <si>
    <t xml:space="preserve">https://linkedin.com/company/28590112</t>
  </si>
  <si>
    <t xml:space="preserve">Investor &amp; Entrepreneur. Founder of @AutomationLinks, Nonprofit @PayLente, Host of the Relationship Marketing Podcast.</t>
  </si>
  <si>
    <t xml:space="preserve">01/01/2015 - Present</t>
  </si>
  <si>
    <t xml:space="preserve">Founder fits ICP; industry/location/size align with US Marketing/Advertising</t>
  </si>
  <si>
    <t xml:space="preserve">2026-08-26 16:15</t>
  </si>
  <si>
    <t xml:space="preserve">Florian</t>
  </si>
  <si>
    <t xml:space="preserve">Auckenthaler</t>
  </si>
  <si>
    <t xml:space="preserve">Vestov</t>
  </si>
  <si>
    <t xml:space="preserve">Charleston, South Carolina, United States</t>
  </si>
  <si>
    <t xml:space="preserve">https://www.designingit.com/</t>
  </si>
  <si>
    <t xml:space="preserve">https://www.linkedin.com/in/florian-auckenthaler-59900b19</t>
  </si>
  <si>
    <t xml:space="preserve">https://linkedin.com/company/28444246</t>
  </si>
  <si>
    <t xml:space="preserve">S1MOS Founder • Marketing Agency Owner • I build strategy-first marketing systems that help businesses grow with clarity (no guesswork, no AI slop)</t>
  </si>
  <si>
    <t xml:space="preserve">01/01/2025 - Present</t>
  </si>
  <si>
    <t xml:space="preserve">Founder role matches ICP; US location and 11–50 employees align; industry is adjacent.</t>
  </si>
  <si>
    <t xml:space="preserve">2026-08-26 03:47</t>
  </si>
  <si>
    <t xml:space="preserve">Aidan</t>
  </si>
  <si>
    <t xml:space="preserve">Brannigan</t>
  </si>
  <si>
    <t xml:space="preserve">No Boring Brands</t>
  </si>
  <si>
    <t xml:space="preserve">Baltimore, Maryland, United States</t>
  </si>
  <si>
    <t xml:space="preserve">https://noboringbrands.co</t>
  </si>
  <si>
    <t xml:space="preserve">https://www.linkedin.com/in/aidanbrannigan/</t>
  </si>
  <si>
    <t xml:space="preserve">https://www.linkedin.com/company/noboringbrands/</t>
  </si>
  <si>
    <t xml:space="preserve">Corporate Humor For Tech Companies | Founder &amp; CEO @ No Boring Brands</t>
  </si>
  <si>
    <t xml:space="preserve">Just engaged with an &lt;a href='https://www.linkedin.com/posts/daniel-murray-marketing_full-circle-moment-my-first-job-out-of-activity-7467645650990706689-IqMe?utm_source=social_share_send&amp;utm_medium=member_desktop_web&amp;rcm=ACoAAGjgv5QBQ7UkTvkMK8SEqqoZT5ykOvc30II' target='_blank'&gt;industry expert&lt;/a&gt;</t>
  </si>
  <si>
    <t xml:space="preserve">Role maps to Founder/CEO; location, industry, and company size align with ICP.</t>
  </si>
  <si>
    <t xml:space="preserve">2026-08-25 22:23</t>
  </si>
  <si>
    <t xml:space="preserve">Davidson</t>
  </si>
  <si>
    <t xml:space="preserve">Founder | Fractional Chief Marketing Officer</t>
  </si>
  <si>
    <t xml:space="preserve">Sea Salt Digital, LLC</t>
  </si>
  <si>
    <t xml:space="preserve">Dunlap, Illinois, United States</t>
  </si>
  <si>
    <t xml:space="preserve">https://seasaltdigital.com</t>
  </si>
  <si>
    <t xml:space="preserve">https://www.linkedin.com/in/kimberlydavidson31791</t>
  </si>
  <si>
    <t xml:space="preserve">https://www.linkedin.com/company/sea-salt-digital/</t>
  </si>
  <si>
    <t xml:space="preserve">Fractional Marketing | Marketing Strategy and Execution | Digital Native | AI Integration | HubSpot | Growth Marketing | Executive Advisor</t>
  </si>
  <si>
    <t xml:space="preserve">5/6/2004 - now</t>
  </si>
  <si>
    <t xml:space="preserve">Just engaged with the industry expert &lt;a href='https://www.linkedin.com/posts/daniel-murray-marketing_happy-wednesday-activity-7495850261509304320-IKTx?utm_source=social_share_send&amp;utm_medium=member_desktop_web&amp;rcm=ACoAAGjgv5QBQ7UkTvkMK8SEqqoZT5ykOvc30II' target='_blank'&gt;Daniel Murray&lt;/a&gt;</t>
  </si>
  <si>
    <t xml:space="preserve">Founder at a US-advertising services agency aligns with ICP seniority and location.</t>
  </si>
  <si>
    <t xml:space="preserve">Lily</t>
  </si>
  <si>
    <t xml:space="preserve">Andrews</t>
  </si>
  <si>
    <t xml:space="preserve">Lotiva</t>
  </si>
  <si>
    <t xml:space="preserve">https://lotiva.com</t>
  </si>
  <si>
    <t xml:space="preserve">https://www.linkedin.com/in/lilianaouthere</t>
  </si>
  <si>
    <t xml:space="preserve">https://www.linkedin.com/company/lotiva/</t>
  </si>
  <si>
    <t xml:space="preserve">Founder &amp; CEO of Lotiva</t>
  </si>
  <si>
    <t xml:space="preserve">6/1/2019 - now</t>
  </si>
  <si>
    <t xml:space="preserve">Founder's role aligns with ICP; location and industry fit US-based advertising services.</t>
  </si>
  <si>
    <t xml:space="preserve">Julie M</t>
  </si>
  <si>
    <t xml:space="preserve">Adams, MSDM</t>
  </si>
  <si>
    <t xml:space="preserve">Founder &amp; Director of Marketing Technology</t>
  </si>
  <si>
    <t xml:space="preserve">SEVEN HATS®</t>
  </si>
  <si>
    <t xml:space="preserve">Vancouver, Washington, United States</t>
  </si>
  <si>
    <t xml:space="preserve">https://7-hats.com</t>
  </si>
  <si>
    <t xml:space="preserve">https://www.linkedin.com/in/julieadamsmsdm</t>
  </si>
  <si>
    <t xml:space="preserve">https://www.linkedin.com/company/sevenhatsmarketing/</t>
  </si>
  <si>
    <t xml:space="preserve">Helping You Escape the Tool Chaos | MarTech Consultant &amp; Fractional CMO | 75+ Companies Cut Martech Costs 30-50% | Author of Escaping The Tool Trap™ | Your $150K Stack actually Costs $400K</t>
  </si>
  <si>
    <t xml:space="preserve">Just engaged with the industry expert &lt;a href='https://www.linkedin.com/posts/daniel-murray-marketing_just-use-ai-activity-7477395498505584640-7meW?utm_source=social_share_send&amp;utm_medium=member_desktop_web&amp;rcm=ACoAAGjgv5QBQ7UkTvkMK8SEqqoZT5ykOvc30II' target='_blank'&gt;Daniel Murray&lt;/a&gt;</t>
  </si>
  <si>
    <t xml:space="preserve">Founder fits ICP; US-based Advertising Services with 2-10 staff.</t>
  </si>
  <si>
    <t xml:space="preserve">Bettinna </t>
  </si>
  <si>
    <t xml:space="preserve">ᥫ᭡</t>
  </si>
  <si>
    <t xml:space="preserve">Chief Creative Officer</t>
  </si>
  <si>
    <t xml:space="preserve">Bettymedia®</t>
  </si>
  <si>
    <t xml:space="preserve">https://bettymedia.com</t>
  </si>
  <si>
    <t xml:space="preserve">https://www.linkedin.com/in/bettinna/</t>
  </si>
  <si>
    <t xml:space="preserve">https://www.linkedin.com/company/bettymedia/</t>
  </si>
  <si>
    <t xml:space="preserve">Bettymedia® — Making boring illegal. Close the deal with design.</t>
  </si>
  <si>
    <t xml:space="preserve">3/6/2008 - now</t>
  </si>
  <si>
    <t xml:space="preserve">Just engaged with an &lt;a href='https://www.linkedin.com/posts/daniel-murray-marketing_nobody-believes-adjectives-anymore-premium-activity-7478087849314230272-oglM?utm_source=social_share_send&amp;utm_medium=member_desktop_web&amp;rcm=ACoAAGjgv5QBQ7UkTvkMK8SEqqoZT5ykOvc30II' target='_blank'&gt;industry expert&lt;/a&gt;</t>
  </si>
  <si>
    <t xml:space="preserve">Role aligns with ICP senior creative leadership; strong fit across industry and region.</t>
  </si>
  <si>
    <t xml:space="preserve">Simmons</t>
  </si>
  <si>
    <t xml:space="preserve">Founder &amp; Growth Strategy Lead</t>
  </si>
  <si>
    <t xml:space="preserve">Audio in the Trees</t>
  </si>
  <si>
    <t xml:space="preserve">Portland, Oregon Metropolitan Area, United States</t>
  </si>
  <si>
    <t xml:space="preserve">https://audiointhetrees.com</t>
  </si>
  <si>
    <t xml:space="preserve">https://www.linkedin.com/in/jefforysimmons</t>
  </si>
  <si>
    <t xml:space="preserve">https://www.linkedin.com/company/audiointhetrees/</t>
  </si>
  <si>
    <t xml:space="preserve">Founder, Audio in the Trees | Trust &amp; Authorship in the Post-Smartphone Era | Helping Spacial Brands Turn Attention Into Attendance</t>
  </si>
  <si>
    <t xml:space="preserve">Just engaged with the industry expert &lt;a href='https://www.linkedin.com/posts/daniel-murray-marketing_nobody-believes-adjectives-anymore-premium-activity-7478087849314230272-oglM?utm_source=social_share_send&amp;utm_medium=member_desktop_web&amp;rcm=ACoAAGjgv5QBQ7UkTvkMK8SEqqoZT5ykOvc30II' target='_blank'&gt;Daniel Murray&lt;/a&gt;</t>
  </si>
  <si>
    <t xml:space="preserve">Role maps to ICP founder; location and size align; industry is a close-fit.</t>
  </si>
  <si>
    <t xml:space="preserve">Nafeesa</t>
  </si>
  <si>
    <t xml:space="preserve">Bratcher</t>
  </si>
  <si>
    <t xml:space="preserve">Optimum Media (formerly a4)</t>
  </si>
  <si>
    <t xml:space="preserve">https://www.linkedin.com/in/nkbratcher</t>
  </si>
  <si>
    <t xml:space="preserve">Strategic Business &amp; Mission-Driven Leader | Building Teams, Cultures &amp; Programs that Deliver Results</t>
  </si>
  <si>
    <t xml:space="preserve">2/1/2021 - now</t>
  </si>
  <si>
    <t xml:space="preserve">2026-08-25 18:09</t>
  </si>
  <si>
    <t xml:space="preserve">Go Forth Marketing</t>
  </si>
  <si>
    <t xml:space="preserve">High Point, North Carolina, United States</t>
  </si>
  <si>
    <t xml:space="preserve">https://go-forthmarketing.com</t>
  </si>
  <si>
    <t xml:space="preserve">https://www.linkedin.com/in/ryanchadferguson</t>
  </si>
  <si>
    <t xml:space="preserve">https://www.linkedin.com/company/goforthmarketing/</t>
  </si>
  <si>
    <t xml:space="preserve">Global Award Winning Marketer | Business Owner | Story Teller | Leader | Podcaster | Board Member | Advertiser | Emcee | Webmaster | Coach | Brander | Friend | Graphic Designer | Star Wars Nerd | Pittsburgh Sports Fan</t>
  </si>
  <si>
    <t xml:space="preserve">01/2/2025 - now</t>
  </si>
  <si>
    <t xml:space="preserve">Nemirov</t>
  </si>
  <si>
    <t xml:space="preserve">Mogl (Formerly Ventura Growth)</t>
  </si>
  <si>
    <t xml:space="preserve">https://venturagrowth.com</t>
  </si>
  <si>
    <t xml:space="preserve">https://www.linkedin.com/in/david-nemirov-26ba0863</t>
  </si>
  <si>
    <t xml:space="preserve">https://www.linkedin.com/company/go-mogl/</t>
  </si>
  <si>
    <t xml:space="preserve">VP of Client Services at Mogl </t>
  </si>
  <si>
    <t xml:space="preserve">Crawford</t>
  </si>
  <si>
    <t xml:space="preserve">YourICP</t>
  </si>
  <si>
    <t xml:space="preserve">https://youricp.com</t>
  </si>
  <si>
    <t xml:space="preserve">https://www.linkedin.com/in/melissa-crawford-6917b745</t>
  </si>
  <si>
    <t xml:space="preserve">https://www.linkedin.com/company/youricp/</t>
  </si>
  <si>
    <t xml:space="preserve">Customer Success Executive - YourICP</t>
  </si>
  <si>
    <t xml:space="preserve">Damon</t>
  </si>
  <si>
    <t xml:space="preserve">The Aebli Group</t>
  </si>
  <si>
    <t xml:space="preserve">Auburn, Maine, United States</t>
  </si>
  <si>
    <t xml:space="preserve">https://aebligroup.com</t>
  </si>
  <si>
    <t xml:space="preserve">https://www.linkedin.com/in/laurendamon</t>
  </si>
  <si>
    <t xml:space="preserve">https://www.linkedin.com/company/the-aebli-group/</t>
  </si>
  <si>
    <t xml:space="preserve">Co-Founder empowering businesses with innovative marketing strategies</t>
  </si>
  <si>
    <t xml:space="preserve">3/7/2017 - now</t>
  </si>
  <si>
    <t xml:space="preserve">Hahs</t>
  </si>
  <si>
    <t xml:space="preserve">Biomimicry 3.8</t>
  </si>
  <si>
    <t xml:space="preserve">Oak Park, Illinois, United States</t>
  </si>
  <si>
    <t xml:space="preserve">https://biomimicry.net</t>
  </si>
  <si>
    <t xml:space="preserve">https://www.linkedin.com/in/rachelhahs</t>
  </si>
  <si>
    <t xml:space="preserve">https://www.linkedin.com/company/biomimicry38/</t>
  </si>
  <si>
    <t xml:space="preserve">Director of Client Services | Biomimic at Biomimicry 3.8</t>
  </si>
  <si>
    <t xml:space="preserve">5/3/2021 - now</t>
  </si>
  <si>
    <t xml:space="preserve">Star</t>
  </si>
  <si>
    <t xml:space="preserve">Unreal Digital Group</t>
  </si>
  <si>
    <t xml:space="preserve">https://unrealdigitalgroup.com</t>
  </si>
  <si>
    <t xml:space="preserve">https://www.linkedin.com/in/alexstar</t>
  </si>
  <si>
    <t xml:space="preserve">https://www.linkedin.com/company/unreal-digital-group/</t>
  </si>
  <si>
    <t xml:space="preserve">Builder of Client Success | Strategy-obsessed Demand Gen expert | Career B2B agency’er | Lover of good humans</t>
  </si>
  <si>
    <t xml:space="preserve">01/10/2025 - now</t>
  </si>
  <si>
    <t xml:space="preserve">Lizzy</t>
  </si>
  <si>
    <t xml:space="preserve">Dietrich Lowy</t>
  </si>
  <si>
    <t xml:space="preserve">Off Madison Ave</t>
  </si>
  <si>
    <t xml:space="preserve">Greater Phoenix Area, United States</t>
  </si>
  <si>
    <t xml:space="preserve">https://offmadisonave.com</t>
  </si>
  <si>
    <t xml:space="preserve">https://www.linkedin.com/in/lizzydietrich</t>
  </si>
  <si>
    <t xml:space="preserve">https://www.linkedin.com/company/offmadisonave/</t>
  </si>
  <si>
    <t xml:space="preserve">Strategic Marketing Leader | People-First | Driving Growth Across Paid, Earned, Shared &amp; Owned</t>
  </si>
  <si>
    <t xml:space="preserve">Lexi</t>
  </si>
  <si>
    <t xml:space="preserve">The Now Agency</t>
  </si>
  <si>
    <t xml:space="preserve">https://thenow.agency</t>
  </si>
  <si>
    <t xml:space="preserve">https://www.linkedin.com/in/leximooney</t>
  </si>
  <si>
    <t xml:space="preserve">https://www.linkedin.com/company/the-now-agency-inc/</t>
  </si>
  <si>
    <t xml:space="preserve">The Now Agency | Creator led strategy with high performing campaigns</t>
  </si>
  <si>
    <t xml:space="preserve">Debbie</t>
  </si>
  <si>
    <t xml:space="preserve">Long Davis</t>
  </si>
  <si>
    <t xml:space="preserve">Crosswind Media &amp; Public Relations</t>
  </si>
  <si>
    <t xml:space="preserve">https://crosswindpr.com</t>
  </si>
  <si>
    <t xml:space="preserve">https://www.linkedin.com/in/debbielongdavis</t>
  </si>
  <si>
    <t xml:space="preserve">https://www.linkedin.com/company/crosswind-communications/</t>
  </si>
  <si>
    <t xml:space="preserve">Customer-Centric | Results &amp; Goal Driven | Detail-Oriented | Strategic | Versatile Marketing and Communications Professional | Product Management</t>
  </si>
  <si>
    <t xml:space="preserve">Candice</t>
  </si>
  <si>
    <t xml:space="preserve">Anders</t>
  </si>
  <si>
    <t xml:space="preserve">Snowball Print Marketing Inc</t>
  </si>
  <si>
    <t xml:space="preserve">https://snowballpm.com</t>
  </si>
  <si>
    <t xml:space="preserve">https://www.linkedin.com/in/candicesampson</t>
  </si>
  <si>
    <t xml:space="preserve">https://www.linkedin.com/company/snowballpm/</t>
  </si>
  <si>
    <t xml:space="preserve">Direct Mail Specialist | Client Services</t>
  </si>
  <si>
    <t xml:space="preserve">Jenna</t>
  </si>
  <si>
    <t xml:space="preserve">Randell</t>
  </si>
  <si>
    <t xml:space="preserve">Mark-it Smart, Inc.</t>
  </si>
  <si>
    <t xml:space="preserve">Owasso, Oklahoma, United States</t>
  </si>
  <si>
    <t xml:space="preserve">https://markitsmart.com</t>
  </si>
  <si>
    <t xml:space="preserve">https://www.linkedin.com/in/jennashawver</t>
  </si>
  <si>
    <t xml:space="preserve">https://www.linkedin.com/company/markitsmartinc/</t>
  </si>
  <si>
    <t xml:space="preserve">Director of Client Services </t>
  </si>
  <si>
    <t xml:space="preserve">Lana</t>
  </si>
  <si>
    <t xml:space="preserve">Goldenberg</t>
  </si>
  <si>
    <t xml:space="preserve">Noxster</t>
  </si>
  <si>
    <t xml:space="preserve">Reno, Nevada, United States</t>
  </si>
  <si>
    <t xml:space="preserve">https://noxsterseo.com</t>
  </si>
  <si>
    <t xml:space="preserve">https://www.linkedin.com/in/lanagoldenberg</t>
  </si>
  <si>
    <t xml:space="preserve">https://www.linkedin.com/company/noxster/</t>
  </si>
  <si>
    <t xml:space="preserve">Optimizing campaigns, processes, and talent in the digital marketing world. </t>
  </si>
  <si>
    <t xml:space="preserve">2/1/2016 - now</t>
  </si>
  <si>
    <t xml:space="preserve">Morlett</t>
  </si>
  <si>
    <t xml:space="preserve">Healthcare Success</t>
  </si>
  <si>
    <t xml:space="preserve">Chula Vista, California, United States</t>
  </si>
  <si>
    <t xml:space="preserve">https://healthcaresuccess.com</t>
  </si>
  <si>
    <t xml:space="preserve">https://www.linkedin.com/in/kristenmorlett</t>
  </si>
  <si>
    <t xml:space="preserve">https://www.linkedin.com/company/healthcaresuccess/</t>
  </si>
  <si>
    <t xml:space="preserve">Integrated Marketing | Strategy | Demand Gen | Social Media | B2B ABM | Inbound Marketing | Digital Marketing</t>
  </si>
  <si>
    <t xml:space="preserve">Alana</t>
  </si>
  <si>
    <t xml:space="preserve">Campbell Nehl</t>
  </si>
  <si>
    <t xml:space="preserve">Javelina</t>
  </si>
  <si>
    <t xml:space="preserve">https://javelina.co</t>
  </si>
  <si>
    <t xml:space="preserve">https://www.linkedin.com/in/campbellalana</t>
  </si>
  <si>
    <t xml:space="preserve">https://www.linkedin.com/company/javelina/</t>
  </si>
  <si>
    <t xml:space="preserve">40 Under 40 Phoenix l Clarity Creator l Systems Strategist l Connection Builder l People Developer I Building systems that support people, not barriers</t>
  </si>
  <si>
    <t xml:space="preserve">Elle</t>
  </si>
  <si>
    <t xml:space="preserve">Brown</t>
  </si>
  <si>
    <t xml:space="preserve">Native Digital</t>
  </si>
  <si>
    <t xml:space="preserve">Kansas City, Missouri, United States</t>
  </si>
  <si>
    <t xml:space="preserve">https://nativedigital.com</t>
  </si>
  <si>
    <t xml:space="preserve">https://www.linkedin.com/in/elle-brown-913b9577</t>
  </si>
  <si>
    <t xml:space="preserve">https://www.linkedin.com/company/native-digital-llc/</t>
  </si>
  <si>
    <t xml:space="preserve">Director of Client Services specializing in Digital Marketing Implementation &amp; Onboarding</t>
  </si>
  <si>
    <t xml:space="preserve">Blum</t>
  </si>
  <si>
    <t xml:space="preserve">SUPPLY</t>
  </si>
  <si>
    <t xml:space="preserve">https://supp.ly</t>
  </si>
  <si>
    <t xml:space="preserve">https://www.linkedin.com/in/alexisblum</t>
  </si>
  <si>
    <t xml:space="preserve">https://www.linkedin.com/company/supplyllc/</t>
  </si>
  <si>
    <t xml:space="preserve">Digital Media enthusiast | Accomplished Client Success and Account Management Leader and Mentor | Conceptual and Empathatic management | Operationally Efficient | Cross-Functional and Managerial collaborator |</t>
  </si>
  <si>
    <t xml:space="preserve">Leanna</t>
  </si>
  <si>
    <t xml:space="preserve">McCoy</t>
  </si>
  <si>
    <t xml:space="preserve">HardPart Media</t>
  </si>
  <si>
    <t xml:space="preserve">https://hardpartmedia.com</t>
  </si>
  <si>
    <t xml:space="preserve">https://www.linkedin.com/in/leanna-mccoy-a5745812</t>
  </si>
  <si>
    <t xml:space="preserve">https://www.linkedin.com/company/hardpart-media/</t>
  </si>
  <si>
    <t xml:space="preserve">Morgan</t>
  </si>
  <si>
    <t xml:space="preserve">Jurken</t>
  </si>
  <si>
    <t xml:space="preserve">Stream Creative</t>
  </si>
  <si>
    <t xml:space="preserve">https://streamcreative.com</t>
  </si>
  <si>
    <t xml:space="preserve">https://www.linkedin.com/in/morgan-jurken</t>
  </si>
  <si>
    <t xml:space="preserve">https://www.linkedin.com/company/stream-creative/</t>
  </si>
  <si>
    <t xml:space="preserve">Director of Client Services | Driving Strategic Partnerships, Operational Excellence &amp; High-Performing Teams | Client Advocate</t>
  </si>
  <si>
    <t xml:space="preserve">5/7/2019 - now</t>
  </si>
  <si>
    <t xml:space="preserve">Kyle</t>
  </si>
  <si>
    <t xml:space="preserve">Dodson</t>
  </si>
  <si>
    <t xml:space="preserve">Alta Media Partners</t>
  </si>
  <si>
    <t xml:space="preserve">https://altamediapartners.com</t>
  </si>
  <si>
    <t xml:space="preserve">https://www.linkedin.com/in/dodsonkyle</t>
  </si>
  <si>
    <t xml:space="preserve">https://www.linkedin.com/company/alta-media-partners/</t>
  </si>
  <si>
    <t xml:space="preserve">Director of Client Services | Alta Media Partners</t>
  </si>
  <si>
    <t xml:space="preserve">6/4/2026 - now</t>
  </si>
  <si>
    <t xml:space="preserve">Kiera</t>
  </si>
  <si>
    <t xml:space="preserve">Lacy</t>
  </si>
  <si>
    <t xml:space="preserve">Workshop</t>
  </si>
  <si>
    <t xml:space="preserve">Saratoga Springs, New York, United States</t>
  </si>
  <si>
    <t xml:space="preserve">https://adworkshop.com</t>
  </si>
  <si>
    <t xml:space="preserve">https://www.linkedin.com/in/kiera-lacy-14429448</t>
  </si>
  <si>
    <t xml:space="preserve">https://www.linkedin.com/company/yourwrkshp/</t>
  </si>
  <si>
    <t xml:space="preserve">Anthony</t>
  </si>
  <si>
    <t xml:space="preserve">C.</t>
  </si>
  <si>
    <t xml:space="preserve">GreenBanana SEO, AEO , GEO and Digital Marketing Agency</t>
  </si>
  <si>
    <t xml:space="preserve">Beverly, Massachusetts, United States</t>
  </si>
  <si>
    <t xml:space="preserve">https://greenbananaseo.com</t>
  </si>
  <si>
    <t xml:space="preserve">https://www.linkedin.com/in/tonycurcuruto</t>
  </si>
  <si>
    <t xml:space="preserve">https://www.linkedin.com/company/greenbananaseo/</t>
  </si>
  <si>
    <t xml:space="preserve">3/4/2018 - now</t>
  </si>
  <si>
    <t xml:space="preserve">McCartney</t>
  </si>
  <si>
    <t xml:space="preserve">Rose</t>
  </si>
  <si>
    <t xml:space="preserve">Fractal Forward Ltd.</t>
  </si>
  <si>
    <t xml:space="preserve">Akron, Ohio, United States</t>
  </si>
  <si>
    <t xml:space="preserve">https://www.linkedin.com/in/mccartney-rose-8a55351b3</t>
  </si>
  <si>
    <t xml:space="preserve">https://www.linkedin.com/company/fractalfwd/</t>
  </si>
  <si>
    <t xml:space="preserve">Communicator | Community Outreach &amp; Engagement | Advocate for Connection, Creativity, and Change</t>
  </si>
  <si>
    <t xml:space="preserve">Just engaged with a post from &lt;a href='https://www.linkedin.com/posts/canva_color-combos-activity-7496521580936757250-eV5Y?utm_source=social_share_send&amp;utm_medium=member_desktop_web&amp;rcm=ACoAAGj6cZoBOktyN8THpaGyAi3qZd1LMa9qDAY' target='_blank'&gt;Canva&lt;/a&gt;</t>
  </si>
  <si>
    <t xml:space="preserve">Role maps to ICP titles; location, industry, and size align with profile.</t>
  </si>
  <si>
    <t xml:space="preserve">2026-08-24 22:39</t>
  </si>
  <si>
    <t xml:space="preserve">Emmanuel</t>
  </si>
  <si>
    <t xml:space="preserve">Olaoluwa</t>
  </si>
  <si>
    <t xml:space="preserve">Ai strategist | Founder</t>
  </si>
  <si>
    <t xml:space="preserve">Logic Automate</t>
  </si>
  <si>
    <t xml:space="preserve">https://tinyurl.com/Emmanuel-Olaoluwa</t>
  </si>
  <si>
    <t xml:space="preserve">https://www.linkedin.com/in/emmanuelolaoluwa/</t>
  </si>
  <si>
    <t xml:space="preserve">https://linkedin.com/company/107931241</t>
  </si>
  <si>
    <t xml:space="preserve">AI &amp; Automation for Real Estate | Ai is not Longer a Decision Tool, It’s a Business Model Transformation</t>
  </si>
  <si>
    <t xml:space="preserve">04/01/2026 - Present</t>
  </si>
  <si>
    <t xml:space="preserve">Just engaged with a &lt;a href='https://www.linkedin.com/posts/upwork_how-it-started-vs-how-its-going-activity-7462543417760395264-h26s?utm_source=social_share_send&amp;utm_medium=member_desktop_web&amp;rcm=ACoAAGj9JnEBoSmL-6WHBnBWd9lDjB8YUFnl8-Y' target='_blank'&gt;competitor&lt;/a&gt;</t>
  </si>
  <si>
    <t xml:space="preserve">https://www.linkedin.com/company/upwork</t>
  </si>
  <si>
    <t xml:space="preserve">Founder at a US-based firm aligns with ICP title and region; industry aligned to Software/Tech; company size slightly below ICP but within one band.</t>
  </si>
  <si>
    <t xml:space="preserve">2026-08-24 10:17</t>
  </si>
  <si>
    <t xml:space="preserve">Colby</t>
  </si>
  <si>
    <t xml:space="preserve">Flood</t>
  </si>
  <si>
    <t xml:space="preserve">Brighter Click</t>
  </si>
  <si>
    <t xml:space="preserve">https://brighterclick.com</t>
  </si>
  <si>
    <t xml:space="preserve">https://www.linkedin.com/in/colby-flood/</t>
  </si>
  <si>
    <t xml:space="preserve">https://www.linkedin.com/company/brighter-click/</t>
  </si>
  <si>
    <t xml:space="preserve">Growth Marketing | Founder at Brighter Click | Now Hiring</t>
  </si>
  <si>
    <t xml:space="preserve">Just engaged with your &lt;a href='https://www.linkedin.com/posts/nicolasbivero_nobody-is-talking-about-this-country-enough-activity-7475427542322135040-JDZy?utm_source=social_share_send&amp;utm_medium=member_desktop_web&amp;rcm=ACoAAGj9PaEBQCRqq7b93r3IrMciJ_mJ5dNuG3M' target='_blank'&gt;profile&lt;/a&gt;</t>
  </si>
  <si>
    <t xml:space="preserve">Founder at a US 2-10 employee agency in Advertising Services aligns with ICP.</t>
  </si>
  <si>
    <t xml:space="preserve">2026-08-24 04:05</t>
  </si>
  <si>
    <t xml:space="preserve">Alistair</t>
  </si>
  <si>
    <t xml:space="preserve">Mercado, MBA</t>
  </si>
  <si>
    <t xml:space="preserve">Founder &amp; CEO / Chief Virtual Advocate | Ethical VA Governance for the Philippines | FIL-AM Veteran</t>
  </si>
  <si>
    <t xml:space="preserve">Kasama Connect</t>
  </si>
  <si>
    <t xml:space="preserve">https://kasamaconnect.com</t>
  </si>
  <si>
    <t xml:space="preserve">https://www.linkedin.com/in/alistair-mercado</t>
  </si>
  <si>
    <t xml:space="preserve">https://www.linkedin.com/company/kasama-connect/</t>
  </si>
  <si>
    <t xml:space="preserve">CEO, Kasama Connect™ | Building Ethical Fintech Infrastructure for Filipino Freelancers | AI-Native Marketplace &amp; Secure-Pay Governance | U.S. Army Veteran (20 Years) | MBA</t>
  </si>
  <si>
    <t xml:space="preserve">Founder/CEO aligns with ICP, industry and location match.</t>
  </si>
  <si>
    <t xml:space="preserve">Santiago</t>
  </si>
  <si>
    <t xml:space="preserve">Faus</t>
  </si>
  <si>
    <t xml:space="preserve">Maribou Partners</t>
  </si>
  <si>
    <t xml:space="preserve">Austin, Texas Metropolitan Area</t>
  </si>
  <si>
    <t xml:space="preserve">Mariboupartners.com</t>
  </si>
  <si>
    <t xml:space="preserve">https://www.linkedin.com/in/santiago-faus-5b40221ba/</t>
  </si>
  <si>
    <t xml:space="preserve">https://linkedin.com/company/106513558</t>
  </si>
  <si>
    <t xml:space="preserve">Go from 0 -​&gt; 10k followers in 90 days | LinkedIn-led GTM systems | Turning founder stories into revenue | Founder at Maribou | Podcast host | History nerd</t>
  </si>
  <si>
    <t xml:space="preserve">09/01/2024 - Present</t>
  </si>
  <si>
    <t xml:space="preserve">Just engaged with your &lt;a href='https://www.linkedin.com/posts/fatinkwasny_categorycreation-aitransformation-professionalservices-activity-7489198259920506883-jM_P?utm_source=social_share_send&amp;utm_medium=member_desktop_web&amp;rcm=ACoAAGj9PaEBQCRqq7b93r3IrMciJ_mJ5dNuG3M' target='_blank'&gt;profile&lt;/a&gt;</t>
  </si>
  <si>
    <t xml:space="preserve">Role aligns as Founder/CEO; location and size fit; industry not a clear marketing/ad fit.</t>
  </si>
  <si>
    <t xml:space="preserve">2026-08-24 04:04</t>
  </si>
  <si>
    <t xml:space="preserve">Treager</t>
  </si>
  <si>
    <t xml:space="preserve">Chief Evangelist Officer (CEO)</t>
  </si>
  <si>
    <t xml:space="preserve">Cornerstone Media Group, Inc</t>
  </si>
  <si>
    <t xml:space="preserve">www.CSMediaGroup.com</t>
  </si>
  <si>
    <t xml:space="preserve">https://www.linkedin.com/in/mark-treager/</t>
  </si>
  <si>
    <t xml:space="preserve">https://linkedin.com/company/643574</t>
  </si>
  <si>
    <t xml:space="preserve">I take the guesswork out of winning new customers by how prospects perceive a business from the first impression — so buying feels like a no-brainer. 🚀 Your Brand IN Demand Is Our Obsession! | Professional Cow Tipper</t>
  </si>
  <si>
    <t xml:space="preserve">01/01/1993 - Present</t>
  </si>
  <si>
    <t xml:space="preserve">Just engaged with your &lt;a href='https://www.linkedin.com/posts/asta-korsa-2600a1110_breaking-lead-magnets-are-dead-5-days-activity-7491142618479878144-ZmGW?utm_source=social_share_send&amp;utm_medium=member_desktop_web&amp;rcm=ACoAAGj9PaEBQCRqq7b93r3IrMciJ_mJ5dNuG3M' target='_blank'&gt;profile&lt;/a&gt;</t>
  </si>
  <si>
    <t xml:space="preserve">Role maps to CEO; US location; industry fit; company size slightly small.</t>
  </si>
  <si>
    <t xml:space="preserve">Felicia</t>
  </si>
  <si>
    <t xml:space="preserve"> Modupe</t>
  </si>
  <si>
    <t xml:space="preserve">Branded Image Media</t>
  </si>
  <si>
    <t xml:space="preserve">https://www.linkedin.com/in/felicia-ogunsola</t>
  </si>
  <si>
    <t xml:space="preserve">https://www.linkedin.com/company/branded-image-media/</t>
  </si>
  <si>
    <t xml:space="preserve">I help founders build their personal brand on Linkedin | Trusted by 25+ Brands</t>
  </si>
  <si>
    <t xml:space="preserve">Founder in Advertising Services US company with 2-10 staff aligns closely to ICP roles and scope.</t>
  </si>
  <si>
    <t xml:space="preserve">Katy</t>
  </si>
  <si>
    <t xml:space="preserve">Johnson</t>
  </si>
  <si>
    <t xml:space="preserve">HealthLinks Marketing</t>
  </si>
  <si>
    <t xml:space="preserve">North Charleston, South Carolina, United States</t>
  </si>
  <si>
    <t xml:space="preserve">https://www.linkedin.com/in/katy-johnson-57b09b22</t>
  </si>
  <si>
    <t xml:space="preserve">https://linkedin.com/company/79744870</t>
  </si>
  <si>
    <t xml:space="preserve">Client Service &amp; Project Management</t>
  </si>
  <si>
    <t xml:space="preserve">2026-08-24 00:15</t>
  </si>
  <si>
    <t xml:space="preserve">Yusuf</t>
  </si>
  <si>
    <t xml:space="preserve">Client Success Operations Manager</t>
  </si>
  <si>
    <t xml:space="preserve">TriggerPoint Media, Inc.</t>
  </si>
  <si>
    <t xml:space="preserve">https://www.linkedin.com/in/ashleyyusuf</t>
  </si>
  <si>
    <t xml:space="preserve">https://linkedin.com/company/6410401</t>
  </si>
  <si>
    <t xml:space="preserve">Operations Leader | Strategy &amp; Systems | Ex-Meta Creative X</t>
  </si>
  <si>
    <t xml:space="preserve">05/01/2025 - Present</t>
  </si>
  <si>
    <t xml:space="preserve">Monchgesang</t>
  </si>
  <si>
    <t xml:space="preserve">Stirling Brandworks</t>
  </si>
  <si>
    <t xml:space="preserve">Nashua, New Hampshire, United States</t>
  </si>
  <si>
    <t xml:space="preserve">http://mollymcreative.com</t>
  </si>
  <si>
    <t xml:space="preserve">https://www.linkedin.com/in/molly-monchgesang-ab21566</t>
  </si>
  <si>
    <t xml:space="preserve">https://linkedin.com/company/1689332</t>
  </si>
  <si>
    <t xml:space="preserve">creative type person who likes to make designs with rizz.</t>
  </si>
  <si>
    <t xml:space="preserve">Duford</t>
  </si>
  <si>
    <t xml:space="preserve">Associate Partner | Director of Client Strategy &amp; Services</t>
  </si>
  <si>
    <t xml:space="preserve">barrettSF</t>
  </si>
  <si>
    <t xml:space="preserve">http://www.barretthofherr.com</t>
  </si>
  <si>
    <t xml:space="preserve">https://www.linkedin.com/in/kyleduford</t>
  </si>
  <si>
    <t xml:space="preserve">https://linkedin.com/company/2937929</t>
  </si>
  <si>
    <t xml:space="preserve">Creative Strategist, Brand-Builder, and BS Caller @ Optimism BH | Wrote Some Books | Husband &amp; Dad, First &amp; Always</t>
  </si>
  <si>
    <t xml:space="preserve">Chelsea</t>
  </si>
  <si>
    <t xml:space="preserve">Coe</t>
  </si>
  <si>
    <t xml:space="preserve">Respondology</t>
  </si>
  <si>
    <t xml:space="preserve">https://www.linkedin.com/in/chelseascoe</t>
  </si>
  <si>
    <t xml:space="preserve">https://linkedin.com/company/2976145</t>
  </si>
  <si>
    <t xml:space="preserve">Client Success at Respondology: Comment tools for social media</t>
  </si>
  <si>
    <t xml:space="preserve">12/01/2025 - Present</t>
  </si>
  <si>
    <t xml:space="preserve">Troutman</t>
  </si>
  <si>
    <t xml:space="preserve">Sagefrog Marketing Group, LLC</t>
  </si>
  <si>
    <t xml:space="preserve">Harleysville, Pennsylvania, United States</t>
  </si>
  <si>
    <t xml:space="preserve">www.designlure.com</t>
  </si>
  <si>
    <t xml:space="preserve">https://www.linkedin.com/in/brandontroutman</t>
  </si>
  <si>
    <t xml:space="preserve">https://linkedin.com/company/256976</t>
  </si>
  <si>
    <t xml:space="preserve">Art Director at Sagefrog Marketing Group, LLC</t>
  </si>
  <si>
    <t xml:space="preserve">08/01/2017 - Present</t>
  </si>
  <si>
    <t xml:space="preserve">Tarr</t>
  </si>
  <si>
    <t xml:space="preserve">The Grounded Company</t>
  </si>
  <si>
    <t xml:space="preserve">Salt Lake City, Utah, United States</t>
  </si>
  <si>
    <t xml:space="preserve">https://www.linkedin.com/in/adamtarr-peekcreative</t>
  </si>
  <si>
    <t xml:space="preserve">https://linkedin.com/company/18322130</t>
  </si>
  <si>
    <t xml:space="preserve">Art Director // 3D Generalist // Motion Graphics // The Grounded Company</t>
  </si>
  <si>
    <t xml:space="preserve">12/01/2022 - Present</t>
  </si>
  <si>
    <t xml:space="preserve">Monisha</t>
  </si>
  <si>
    <t xml:space="preserve">Wimberly, MBA</t>
  </si>
  <si>
    <t xml:space="preserve">Client Success Manager, Client Services</t>
  </si>
  <si>
    <t xml:space="preserve">adHere, Inc</t>
  </si>
  <si>
    <t xml:space="preserve">https://www.linkedin.com/in/ACoAABkL-DIB6mv4iWPKHj8dRhaTK9taiSNGVOg</t>
  </si>
  <si>
    <t xml:space="preserve">https://linkedin.com/company/7596343</t>
  </si>
  <si>
    <t xml:space="preserve">Customer Success Leader | Higher Ed Tech</t>
  </si>
  <si>
    <t xml:space="preserve">Schlegel</t>
  </si>
  <si>
    <t xml:space="preserve">OTM</t>
  </si>
  <si>
    <t xml:space="preserve">https://www.rachelallenemcintyre.com/</t>
  </si>
  <si>
    <t xml:space="preserve">https://www.linkedin.com/in/rachelmcintyre09</t>
  </si>
  <si>
    <t xml:space="preserve">https://linkedin.com/company/252813</t>
  </si>
  <si>
    <t xml:space="preserve">Sr. Client Success Manager at OTM</t>
  </si>
  <si>
    <t xml:space="preserve">Adeina</t>
  </si>
  <si>
    <t xml:space="preserve">Mars</t>
  </si>
  <si>
    <t xml:space="preserve">GRO</t>
  </si>
  <si>
    <t xml:space="preserve">https://www.linkedin.com/in/adeina-mars</t>
  </si>
  <si>
    <t xml:space="preserve">https://linkedin.com/company/91184564</t>
  </si>
  <si>
    <t xml:space="preserve">Professional hype woman | Client Success Manager | GRO</t>
  </si>
  <si>
    <t xml:space="preserve">Kylie</t>
  </si>
  <si>
    <t xml:space="preserve">Keyes</t>
  </si>
  <si>
    <t xml:space="preserve">Casual Fridays, Inc.</t>
  </si>
  <si>
    <t xml:space="preserve">https://www.linkedin.com/in/kyliekeyes</t>
  </si>
  <si>
    <t xml:space="preserve">https://linkedin.com/company/1711206</t>
  </si>
  <si>
    <t xml:space="preserve">Client Success Manager | Social Media Strategy | Client Partnerships &amp; Team Leadership | Hospitality &amp; Tourism Marketing</t>
  </si>
  <si>
    <t xml:space="preserve">Halston</t>
  </si>
  <si>
    <t xml:space="preserve">360Connect, LP</t>
  </si>
  <si>
    <t xml:space="preserve">https://www.linkedin.com/in/halston-brown-806225177</t>
  </si>
  <si>
    <t xml:space="preserve">https://linkedin.com/company/3475426</t>
  </si>
  <si>
    <t xml:space="preserve">Amanda</t>
  </si>
  <si>
    <t xml:space="preserve">Kaay</t>
  </si>
  <si>
    <t xml:space="preserve">ION Marketing</t>
  </si>
  <si>
    <t xml:space="preserve">communify.me</t>
  </si>
  <si>
    <t xml:space="preserve">https://www.linkedin.com/in/amandakaay</t>
  </si>
  <si>
    <t xml:space="preserve">https://linkedin.com/company/103331</t>
  </si>
  <si>
    <t xml:space="preserve">Marketing • Art Direction • Graphic Design • Motion Graphics • Illustration • Paintings</t>
  </si>
  <si>
    <t xml:space="preserve">06/01/2023 - Present</t>
  </si>
  <si>
    <t xml:space="preserve">Schneider</t>
  </si>
  <si>
    <t xml:space="preserve">Art Director, LaunchPad &amp; CPG</t>
  </si>
  <si>
    <t xml:space="preserve">Mertz Design Inc</t>
  </si>
  <si>
    <t xml:space="preserve">Cincinnati, Ohio, United States</t>
  </si>
  <si>
    <t xml:space="preserve">madschnei.com</t>
  </si>
  <si>
    <t xml:space="preserve">https://www.linkedin.com/in/madschnei</t>
  </si>
  <si>
    <t xml:space="preserve">https://linkedin.com/company/1473021</t>
  </si>
  <si>
    <t xml:space="preserve">Art Director | Brand Systems, Packaging, Motion &amp; Experiential Design | Strategy-minded, culture-forward creative storyteller | Capricorn</t>
  </si>
  <si>
    <t xml:space="preserve">01/01/2024 - Present</t>
  </si>
  <si>
    <t xml:space="preserve">Ignacio</t>
  </si>
  <si>
    <t xml:space="preserve">www.alexandraignacio.com</t>
  </si>
  <si>
    <t xml:space="preserve">https://www.linkedin.com/in/alexandra-ignacio</t>
  </si>
  <si>
    <t xml:space="preserve">https://linkedin.com/company/1608223</t>
  </si>
  <si>
    <t xml:space="preserve">Art Director at Healthcare Success</t>
  </si>
  <si>
    <t xml:space="preserve">Jensen</t>
  </si>
  <si>
    <t xml:space="preserve">Gravillis™</t>
  </si>
  <si>
    <t xml:space="preserve">http://www.katejjj.com</t>
  </si>
  <si>
    <t xml:space="preserve">https://www.linkedin.com/in/katelynjensen</t>
  </si>
  <si>
    <t xml:space="preserve">https://linkedin.com/company/3267063</t>
  </si>
  <si>
    <t xml:space="preserve">Senior Art Director &amp; Artist</t>
  </si>
  <si>
    <t xml:space="preserve">08/01/2024 - Present</t>
  </si>
  <si>
    <t xml:space="preserve">Sakala</t>
  </si>
  <si>
    <t xml:space="preserve">Senior Client Success Manager</t>
  </si>
  <si>
    <t xml:space="preserve">AdQuire Media</t>
  </si>
  <si>
    <t xml:space="preserve">Hedgesville, West Virginia, United States</t>
  </si>
  <si>
    <t xml:space="preserve">https://www.linkedin.com/in/courtney-sakala-b526789a</t>
  </si>
  <si>
    <t xml:space="preserve">https://linkedin.com/company/12975209</t>
  </si>
  <si>
    <t xml:space="preserve">Senior Client Success Manager | Scaling Performance Marketing Portfolios, Maximizing Client LTV and Driving Client Retention</t>
  </si>
  <si>
    <t xml:space="preserve">04/01/2024 - Present</t>
  </si>
  <si>
    <t xml:space="preserve">Noah</t>
  </si>
  <si>
    <t xml:space="preserve">Goldfarb</t>
  </si>
  <si>
    <t xml:space="preserve">Director of Client Services (SEO)</t>
  </si>
  <si>
    <t xml:space="preserve">Fire&amp;Spark</t>
  </si>
  <si>
    <t xml:space="preserve">Cambridge, Massachusetts, United States</t>
  </si>
  <si>
    <t xml:space="preserve">https://www.linkedin.com/in/noah-goldfarb-673781111</t>
  </si>
  <si>
    <t xml:space="preserve">https://linkedin.com/company/27186566</t>
  </si>
  <si>
    <t xml:space="preserve">Helping Digital Health Brands Scale Organic Patient Acquisition | SEO &amp; AI Search | Fire&amp;Spark | Founder, Digital Health Growth Mastermind | Mensch</t>
  </si>
  <si>
    <t xml:space="preserve">Irena</t>
  </si>
  <si>
    <t xml:space="preserve">Milev</t>
  </si>
  <si>
    <t xml:space="preserve">B-Reel</t>
  </si>
  <si>
    <t xml:space="preserve">http://www.irenamilev.com</t>
  </si>
  <si>
    <t xml:space="preserve">https://www.linkedin.com/in/irena19</t>
  </si>
  <si>
    <t xml:space="preserve">https://linkedin.com/company/31486</t>
  </si>
  <si>
    <t xml:space="preserve">Creative Director at B-Reel</t>
  </si>
  <si>
    <t xml:space="preserve">10/01/2012 - Present</t>
  </si>
  <si>
    <t xml:space="preserve">Nic</t>
  </si>
  <si>
    <t xml:space="preserve">Blazier</t>
  </si>
  <si>
    <t xml:space="preserve">Segal Savad</t>
  </si>
  <si>
    <t xml:space="preserve">Buffalo, New York, United States</t>
  </si>
  <si>
    <t xml:space="preserve">https://www.linkedin.com/in/nkblazier</t>
  </si>
  <si>
    <t xml:space="preserve">https://linkedin.com/company/6850636</t>
  </si>
  <si>
    <t xml:space="preserve">Art Director at Segal Savad</t>
  </si>
  <si>
    <t xml:space="preserve">10/01/2020 - Present</t>
  </si>
  <si>
    <t xml:space="preserve">Andy</t>
  </si>
  <si>
    <t xml:space="preserve">Nichols</t>
  </si>
  <si>
    <t xml:space="preserve">Hive Studios</t>
  </si>
  <si>
    <t xml:space="preserve">Salem, Oregon, United States</t>
  </si>
  <si>
    <t xml:space="preserve">www.andynicholscreative.com</t>
  </si>
  <si>
    <t xml:space="preserve">https://www.linkedin.com/in/andy-nichols-</t>
  </si>
  <si>
    <t xml:space="preserve">https://linkedin.com/company/92578709</t>
  </si>
  <si>
    <t xml:space="preserve">Art Director + Graphic Designer + Creative Problem Solver</t>
  </si>
  <si>
    <t xml:space="preserve">Martinez</t>
  </si>
  <si>
    <t xml:space="preserve">Founder | Editor | Executive Producer | Contract Manager</t>
  </si>
  <si>
    <t xml:space="preserve">LA Sun &amp; Beyond Media</t>
  </si>
  <si>
    <t xml:space="preserve">https://lasunandbeyond.substack.com</t>
  </si>
  <si>
    <t xml:space="preserve">https://www.linkedin.com/in/julia-juliam/</t>
  </si>
  <si>
    <t xml:space="preserve">https://www.linkedin.com/company/la-sun-and-beyond-media/</t>
  </si>
  <si>
    <t xml:space="preserve">CONTRACT MANAGER | PARALEGAL | WRITER &amp; EDITOR - Bilingual (Spanish)</t>
  </si>
  <si>
    <t xml:space="preserve">Just engaged with a &lt;a href='https://www.linkedin.com/feed/update/urn:li:activity:7488242297084489728/' target='_blank'&gt;LinkedIn post&lt;/a&gt;</t>
  </si>
  <si>
    <t xml:space="preserve">Founder role matches ICP; industry adjacent; company size and US location align.</t>
  </si>
  <si>
    <t xml:space="preserve">2026-08-23 10:03</t>
  </si>
  <si>
    <t xml:space="preserve">Galaro</t>
  </si>
  <si>
    <t xml:space="preserve">Partner</t>
  </si>
  <si>
    <t xml:space="preserve">Tabletop Marketing</t>
  </si>
  <si>
    <t xml:space="preserve">https://tabletopmarketing.com</t>
  </si>
  <si>
    <t xml:space="preserve">https://www.linkedin.com/in/sarah-galaro/</t>
  </si>
  <si>
    <t xml:space="preserve">https://www.linkedin.com/company/tabletopmarketing/</t>
  </si>
  <si>
    <t xml:space="preserve">Founding Partner at Tabletop Marketing</t>
  </si>
  <si>
    <t xml:space="preserve">Founding/Partner level role aligns with Founder ICP; US-based Marketing/Advertising domain; company size matches 2-10; location fits Dallas, TX.</t>
  </si>
  <si>
    <t xml:space="preserve">Anne</t>
  </si>
  <si>
    <t xml:space="preserve">Braunstein</t>
  </si>
  <si>
    <t xml:space="preserve">Lead UX Designer &amp; Founder</t>
  </si>
  <si>
    <t xml:space="preserve">AB Designs</t>
  </si>
  <si>
    <t xml:space="preserve">Needham Heights, Massachusetts, United States</t>
  </si>
  <si>
    <t xml:space="preserve">https://annebraunstein.com</t>
  </si>
  <si>
    <t xml:space="preserve">https://www.linkedin.com/in/anne-braunstein-72209a1/</t>
  </si>
  <si>
    <t xml:space="preserve">https://www.linkedin.com/company/ab-designs-ma/</t>
  </si>
  <si>
    <t xml:space="preserve">Design Leadership, Strategy, &amp; User Research // Enterprise Strategy // Responsible AI</t>
  </si>
  <si>
    <t xml:space="preserve">Just engaged with a &lt;a href='https://www.linkedin.com/feed/update/urn:li:activity:7492982405037899778/' target='_blank'&gt;LinkedIn post&lt;/a&gt;</t>
  </si>
  <si>
    <t xml:space="preserve">Role maps to Founder; location, industry, and company size align with the ICP.</t>
  </si>
  <si>
    <t xml:space="preserve">Michelle (Michu)</t>
  </si>
  <si>
    <t xml:space="preserve">Benaim S.</t>
  </si>
  <si>
    <t xml:space="preserve">Partner / CEO</t>
  </si>
  <si>
    <t xml:space="preserve">In-House Intl. Creative</t>
  </si>
  <si>
    <t xml:space="preserve">https://weareinhouse.com</t>
  </si>
  <si>
    <t xml:space="preserve">https://www.linkedin.com/in/michubenaim/</t>
  </si>
  <si>
    <t xml:space="preserve">https://www.linkedin.com/company/in-house-intl/</t>
  </si>
  <si>
    <t xml:space="preserve">CEO at In-House. Branding breakthroughs for game-changers / weareinhouse.com</t>
  </si>
  <si>
    <t xml:space="preserve">3/8/2015 - now</t>
  </si>
  <si>
    <t xml:space="preserve">Role aligns with ICP titles and United States location matches the profile.</t>
  </si>
  <si>
    <t xml:space="preserve">Agatha</t>
  </si>
  <si>
    <t xml:space="preserve">Smerak</t>
  </si>
  <si>
    <t xml:space="preserve">Chief Executive Officer/Owner</t>
  </si>
  <si>
    <t xml:space="preserve">Element Six Creative Group</t>
  </si>
  <si>
    <t xml:space="preserve">https://www.linkedin.com/in/agatha-smerak-87370a8a/</t>
  </si>
  <si>
    <t xml:space="preserve">https://linkedin.com/company/1402872</t>
  </si>
  <si>
    <t xml:space="preserve">Owner, CEO | Building strong brands • Increasing exposure • Generating a reaction</t>
  </si>
  <si>
    <t xml:space="preserve">05/01/2023 - Present</t>
  </si>
  <si>
    <t xml:space="preserve">Just engaged with a &lt;a href='https://www.linkedin.com/feed/update/urn:li:activity:7494777192334233600/' target='_blank'&gt;LinkedIn post&lt;/a&gt;</t>
  </si>
  <si>
    <t xml:space="preserve">CEO aligns with ICP; US location and advertising services fit.</t>
  </si>
  <si>
    <t xml:space="preserve">2026-08-22 22:31</t>
  </si>
  <si>
    <t xml:space="preserve">Sam</t>
  </si>
  <si>
    <t xml:space="preserve">Stevenson</t>
  </si>
  <si>
    <t xml:space="preserve">Client Director</t>
  </si>
  <si>
    <t xml:space="preserve">Vault49</t>
  </si>
  <si>
    <t xml:space="preserve">https://www.linkedin.com/in/sam-stevenson-b9845a103/</t>
  </si>
  <si>
    <t xml:space="preserve">https://linkedin.com/company/1750548</t>
  </si>
  <si>
    <t xml:space="preserve">Role maps to an ICP director-level client services function; industry, location, and company size align with the ICP.</t>
  </si>
  <si>
    <t xml:space="preserve">2026-08-22 22:21</t>
  </si>
  <si>
    <t xml:space="preserve">Calabrese</t>
  </si>
  <si>
    <t xml:space="preserve">Owner / Designer</t>
  </si>
  <si>
    <t xml:space="preserve">Calaco Group</t>
  </si>
  <si>
    <t xml:space="preserve">Richmond, Michigan, United States</t>
  </si>
  <si>
    <t xml:space="preserve">https://calacogroup.com</t>
  </si>
  <si>
    <t xml:space="preserve">https://www.linkedin.com/in/chriscalabrese/</t>
  </si>
  <si>
    <t xml:space="preserve">https://www.linkedin.com/company/calaco-group/</t>
  </si>
  <si>
    <t xml:space="preserve">Creative Direction / UX Architect / Creative Workflow Architect</t>
  </si>
  <si>
    <t xml:space="preserve">5/5/1995 - now</t>
  </si>
  <si>
    <t xml:space="preserve">Founder-like ownership maps to ICP Founder; industry aligns with Advertising Services; company size is one band smaller; location inUS matches ICP.</t>
  </si>
  <si>
    <t xml:space="preserve">Katz</t>
  </si>
  <si>
    <t xml:space="preserve">Sightly</t>
  </si>
  <si>
    <t xml:space="preserve">https://sightly.com</t>
  </si>
  <si>
    <t xml:space="preserve">https://www.linkedin.com/in/adam-katz-5ab3949/</t>
  </si>
  <si>
    <t xml:space="preserve">https://www.linkedin.com/company/sightly/</t>
  </si>
  <si>
    <t xml:space="preserve">CEO, Sightly</t>
  </si>
  <si>
    <t xml:space="preserve">CEO role aligns with ICP; US location and Marketing Services industry match; company size is one band larger than ICP.</t>
  </si>
  <si>
    <t xml:space="preserve">Glasgow</t>
  </si>
  <si>
    <t xml:space="preserve">Creative entrepreneur &amp; Founder of Vault49</t>
  </si>
  <si>
    <t xml:space="preserve">https://vault49.com</t>
  </si>
  <si>
    <t xml:space="preserve">https://www.linkedin.com/in/john-glasgow-8b0b2336/</t>
  </si>
  <si>
    <t xml:space="preserve">https://www.linkedin.com/company/vault49/</t>
  </si>
  <si>
    <t xml:space="preserve">Creative entrepreneur &amp; Founder of Vault49 | Co-president of the Pentawards Jury</t>
  </si>
  <si>
    <t xml:space="preserve">01/5/2002 - now</t>
  </si>
  <si>
    <t xml:space="preserve">Founder role matches ICP; location and industry align with US marketing/advertising.</t>
  </si>
  <si>
    <t xml:space="preserve">2026-08-22 22:20</t>
  </si>
  <si>
    <t xml:space="preserve">Moore</t>
  </si>
  <si>
    <t xml:space="preserve">Riot of Colors</t>
  </si>
  <si>
    <t xml:space="preserve">Manassas, Virginia, United States</t>
  </si>
  <si>
    <t xml:space="preserve">https://riotofcolors.com</t>
  </si>
  <si>
    <t xml:space="preserve">https://www.linkedin.com/in/chrismooreinnovation/</t>
  </si>
  <si>
    <t xml:space="preserve">https://www.linkedin.com/company/riotofcolors/</t>
  </si>
  <si>
    <t xml:space="preserve">Emmy-nominated Creative Director &amp; Autism Dad</t>
  </si>
  <si>
    <t xml:space="preserve">Role aligns with ICP and location/industry/size match.</t>
  </si>
  <si>
    <t xml:space="preserve">Jessica</t>
  </si>
  <si>
    <t xml:space="preserve">Kornblatt Barr, CSM®</t>
  </si>
  <si>
    <t xml:space="preserve">Creative Services &amp; Culture Director</t>
  </si>
  <si>
    <t xml:space="preserve">Interact Brands</t>
  </si>
  <si>
    <t xml:space="preserve">https://interactbrands.com</t>
  </si>
  <si>
    <t xml:space="preserve">https://www.linkedin.com/in/barrjessica/</t>
  </si>
  <si>
    <t xml:space="preserve">https://www.linkedin.com/company/interactbrands/</t>
  </si>
  <si>
    <t xml:space="preserve">Creative Operations | Creative Process | Servant Leader | UC Berkeley</t>
  </si>
  <si>
    <t xml:space="preserve">Role maps to Creative Director; industry aligns with Design Services; US location; 11-50 employees.</t>
  </si>
  <si>
    <t xml:space="preserve">COO &amp; Co-Founder</t>
  </si>
  <si>
    <t xml:space="preserve">SUNNYBOTICS</t>
  </si>
  <si>
    <t xml:space="preserve">https://sunnybotics.com</t>
  </si>
  <si>
    <t xml:space="preserve">https://www.linkedin.com/in/santiago-rodriguez-6b986a1a3/</t>
  </si>
  <si>
    <t xml:space="preserve">https://www.linkedin.com/company/sunnybotics/</t>
  </si>
  <si>
    <t xml:space="preserve">Co-Founder @Sunnybotics | Building the robotic workforce for the solar industry | Backed by The Residency &amp; Founders, Inc.</t>
  </si>
  <si>
    <t xml:space="preserve">3/7/2023 - now</t>
  </si>
  <si>
    <t xml:space="preserve">Just engaged with a &lt;a href='https://www.linkedin.com/feed/update/urn:li:activity:7492656226296651776/' target='_blank'&gt;LinkedIn post&lt;/a&gt;</t>
  </si>
  <si>
    <t xml:space="preserve">Role maps to Founder/Co-Founder; location and size align; industry is adjacent.</t>
  </si>
  <si>
    <t xml:space="preserve">2026-08-22 16:31</t>
  </si>
  <si>
    <t xml:space="preserve">Casey</t>
  </si>
  <si>
    <t xml:space="preserve">McKenna</t>
  </si>
  <si>
    <t xml:space="preserve">McKenna Marketing Solutions</t>
  </si>
  <si>
    <t xml:space="preserve">https://mckennamarketingsolutions.com</t>
  </si>
  <si>
    <t xml:space="preserve">https://www.linkedin.com/in/casey-mckenna-004a50173/</t>
  </si>
  <si>
    <t xml:space="preserve">https://www.linkedin.com/company/mckenna-marketing-solutions/</t>
  </si>
  <si>
    <t xml:space="preserve">CEO at McKenna Marketing Solutions | Social Media Management and Digital Marketing</t>
  </si>
  <si>
    <t xml:space="preserve">Just engaged with a &lt;a href='https://www.linkedin.com/posts/canva_gen-z-mode-search-activity-7491448177095770112-z7hJ?utm_source=social_share_send&amp;utm_medium=member_desktop_web&amp;rcm=ACoAAFrY4JwBWcbpXyVJ-RgL8D5R6OdqdMj98AI' target='_blank'&gt;competitor&lt;/a&gt;</t>
  </si>
  <si>
    <t xml:space="preserve">CEO/Founder aligns with ICP; location/industry/size align well.</t>
  </si>
  <si>
    <t xml:space="preserve">2026-08-22 10:44</t>
  </si>
  <si>
    <t xml:space="preserve">Kristie</t>
  </si>
  <si>
    <t xml:space="preserve">RevEngine-IQ</t>
  </si>
  <si>
    <t xml:space="preserve">Lillington, North Carolina, United States</t>
  </si>
  <si>
    <t xml:space="preserve">https://revengine-iq.com</t>
  </si>
  <si>
    <t xml:space="preserve">https://www.linkedin.com/in/kristie-morgan</t>
  </si>
  <si>
    <t xml:space="preserve">https://www.linkedin.com/company/rev-engine-iq/</t>
  </si>
  <si>
    <t xml:space="preserve">Founder &amp; CEO @ RevEngine-IQ | B2B Pipeline &amp; Revenue Growth Leader | Turning Conversations into Predictable Revenue</t>
  </si>
  <si>
    <t xml:space="preserve">Strong fit: Founder/CEO in US advertising services with 2-10 staff.</t>
  </si>
  <si>
    <t xml:space="preserve">2026-08-22 00:24</t>
  </si>
  <si>
    <t xml:space="preserve">Enriquez</t>
  </si>
  <si>
    <t xml:space="preserve">Luna Design International Ltd</t>
  </si>
  <si>
    <t xml:space="preserve">Las Vegas, Nevada, United States</t>
  </si>
  <si>
    <t xml:space="preserve">https://facebook.com</t>
  </si>
  <si>
    <t xml:space="preserve">https://www.linkedin.com/in/oliviaenriquez</t>
  </si>
  <si>
    <t xml:space="preserve">https://www.linkedin.com/company/luna-design-international-ltd/</t>
  </si>
  <si>
    <t xml:space="preserve">Creative Director @ Luna Design | Package Design, Brand Development Expert</t>
  </si>
  <si>
    <t xml:space="preserve">5/2/2012 - now</t>
  </si>
  <si>
    <t xml:space="preserve">Role aligns with ICP as Founder/Creative Director; industry and location match US-based design services</t>
  </si>
  <si>
    <t xml:space="preserve">Aaron</t>
  </si>
  <si>
    <t xml:space="preserve">Belyea</t>
  </si>
  <si>
    <t xml:space="preserve">Owner / Art Director</t>
  </si>
  <si>
    <t xml:space="preserve">Alphabet Arm</t>
  </si>
  <si>
    <t xml:space="preserve">Chapel Hill, North Carolina, United States</t>
  </si>
  <si>
    <t xml:space="preserve">https://alphabetarm.com</t>
  </si>
  <si>
    <t xml:space="preserve">https://www.linkedin.com/in/aaronbelyea</t>
  </si>
  <si>
    <t xml:space="preserve">https://www.linkedin.com/company/alphabet-arm/</t>
  </si>
  <si>
    <t xml:space="preserve">Creative Director / Brand Designer (ex. New Balance)</t>
  </si>
  <si>
    <t xml:space="preserve">5/10/2001 - now</t>
  </si>
  <si>
    <t xml:space="preserve">Role maps to Art Director; US location; company size matches ICP.</t>
  </si>
  <si>
    <t xml:space="preserve">Hector</t>
  </si>
  <si>
    <t xml:space="preserve">Rivera</t>
  </si>
  <si>
    <t xml:space="preserve">VividClone.AI</t>
  </si>
  <si>
    <t xml:space="preserve">https://vividclone.ai</t>
  </si>
  <si>
    <t xml:space="preserve">https://www.linkedin.com/in/hector-rivera5</t>
  </si>
  <si>
    <t xml:space="preserve">https://www.linkedin.com/company/vividclone-ai/</t>
  </si>
  <si>
    <t xml:space="preserve">CEO, Spanish Leads Now &amp; Vividclone.AI | We Build Proprietary AI Video Systems that Acquire Hispanic B2B Clients at Scale</t>
  </si>
  <si>
    <t xml:space="preserve">Role matches ICP (Founder); location/industry align; strong overall fit.</t>
  </si>
  <si>
    <t xml:space="preserve">Sean</t>
  </si>
  <si>
    <t xml:space="preserve">DeVore</t>
  </si>
  <si>
    <t xml:space="preserve">Truly Handwritten</t>
  </si>
  <si>
    <t xml:space="preserve">https://trulyhandwritten.com</t>
  </si>
  <si>
    <t xml:space="preserve">https://www.linkedin.com/in/ACwAAAEJrwIB3LOJiwVXhPJyrHVFsSIxq8C4Ho8</t>
  </si>
  <si>
    <t xml:space="preserve">https://www.linkedin.com/company/truly-handwritten/</t>
  </si>
  <si>
    <t xml:space="preserve">As the founder of DeVore Recruiting, Truly Handwritten, and Remote Hire USA, I lead three ventures united by one mission: to connect people, strengthen culture, and reimagine the workforce through emp...</t>
  </si>
  <si>
    <t xml:space="preserve">Role aligns with ICP titles; industry and location strongly match; company size fits range.</t>
  </si>
  <si>
    <t xml:space="preserve">Tova</t>
  </si>
  <si>
    <t xml:space="preserve">Co-Founder and CEO</t>
  </si>
  <si>
    <t xml:space="preserve">York Effect</t>
  </si>
  <si>
    <t xml:space="preserve">https://yorkeffect.com</t>
  </si>
  <si>
    <t xml:space="preserve">https://www.linkedin.com/in/ACwAAAGQZ0IBondEIe9_29RRwioC2jXdaGmFFVg</t>
  </si>
  <si>
    <t xml:space="preserve">https://www.linkedin.com/company/york-effect/</t>
  </si>
  <si>
    <t xml:space="preserve">I help Series A founders stop scaling on assumptions that create unnecessary cost and complexity.York Effect Sprints™ give leadership a framework to understand what will scale, what will not, and why ...</t>
  </si>
  <si>
    <t xml:space="preserve">Founder/CEO role matches ICP; location and company size align; industry is adjacent but not a core ICP sector.</t>
  </si>
  <si>
    <t xml:space="preserve">Sue </t>
  </si>
  <si>
    <t xml:space="preserve">Davis</t>
  </si>
  <si>
    <t xml:space="preserve">Geeks Marketing</t>
  </si>
  <si>
    <t xml:space="preserve">Georgetown, Texas, United States</t>
  </si>
  <si>
    <t xml:space="preserve">https://geeksmarketing.com</t>
  </si>
  <si>
    <t xml:space="preserve">https://www.linkedin.com/in/geeksmarketing</t>
  </si>
  <si>
    <t xml:space="preserve">https://www.linkedin.com/company/geeks-marketing/</t>
  </si>
  <si>
    <t xml:space="preserve">Geeks Marketing | Creating stunning graphics and content to build your brand. Serving Entrepreneurs to Fortune 500 companies.</t>
  </si>
  <si>
    <t xml:space="preserve">6/4/2009 - now</t>
  </si>
  <si>
    <t xml:space="preserve">CEO in Advertising Services, US-based, 2-10 employees, aligns with ICP.</t>
  </si>
  <si>
    <t xml:space="preserve">Burton</t>
  </si>
  <si>
    <t xml:space="preserve">President &amp; Creative Director</t>
  </si>
  <si>
    <t xml:space="preserve">Echo Design Group</t>
  </si>
  <si>
    <t xml:space="preserve">Darien, Illinois, United States</t>
  </si>
  <si>
    <t xml:space="preserve">https://echodesigngroup.com</t>
  </si>
  <si>
    <t xml:space="preserve">https://www.linkedin.com/in/johnpburton</t>
  </si>
  <si>
    <t xml:space="preserve">https://www.linkedin.com/company/echo-design-group_2/</t>
  </si>
  <si>
    <t xml:space="preserve">Principal and Creative Director @ Echo Design Group.  I help companies create beautiful brands and awesome websites. 
</t>
  </si>
  <si>
    <t xml:space="preserve">01/9/1994 - now</t>
  </si>
  <si>
    <t xml:space="preserve">Role aligns with ICP leadership titles; location is in the US; company size fits; industry aligns with Design Services.</t>
  </si>
  <si>
    <t xml:space="preserve">Linda</t>
  </si>
  <si>
    <t xml:space="preserve">Hafstad</t>
  </si>
  <si>
    <t xml:space="preserve">CEO | Partner</t>
  </si>
  <si>
    <t xml:space="preserve">Ekte Media</t>
  </si>
  <si>
    <t xml:space="preserve">https://ektemedia.com</t>
  </si>
  <si>
    <t xml:space="preserve">https://www.linkedin.com/in/ACwAADWIPVsBA2hSlTgBobvQS28Wzm3SKp-fndI</t>
  </si>
  <si>
    <t xml:space="preserve">https://www.linkedin.com/company/ektemedia/</t>
  </si>
  <si>
    <t xml:space="preserve">Your website's most important job isn't generating leads (you get those through referrals anyway). It's keeping sold prospects sold when they inevitably look you up at 10 PM.Most agencies blame their ...</t>
  </si>
  <si>
    <t xml:space="preserve">Executive leadership at a Design Services firm in the US aligns with ICP.</t>
  </si>
  <si>
    <t xml:space="preserve">Stamell</t>
  </si>
  <si>
    <t xml:space="preserve">Oomiji Inc.</t>
  </si>
  <si>
    <t xml:space="preserve">https://oomiji.com</t>
  </si>
  <si>
    <t xml:space="preserve">https://www.linkedin.com/in/stamell</t>
  </si>
  <si>
    <t xml:space="preserve">https://www.linkedin.com/company/oomiji/</t>
  </si>
  <si>
    <t xml:space="preserve">Uncover your customers’ emotions, motivations and perceptions. Let them tell you what they do and why. Create experiences based on what they want today and tomorrow to drive deeper engagement.</t>
  </si>
  <si>
    <t xml:space="preserve">CEO aligns with ICP; industry fit is strong; company size matches; location is within the United States.</t>
  </si>
  <si>
    <t xml:space="preserve">Tarun</t>
  </si>
  <si>
    <t xml:space="preserve">Singh</t>
  </si>
  <si>
    <t xml:space="preserve">Sign MVA</t>
  </si>
  <si>
    <t xml:space="preserve">https://innovatcs.com</t>
  </si>
  <si>
    <t xml:space="preserve">https://www.linkedin.com/in/t-singh-growthx</t>
  </si>
  <si>
    <t xml:space="preserve">https://www.linkedin.com/company/signmva/</t>
  </si>
  <si>
    <t xml:space="preserve">Scaling $10M+ PI Firms via Exclusive MVA Infrastructure | Reduced Average Firms CAC by 23% | 12,000+ Qualified Cases/Mo | $126M in 2025 Partner Settlements | CEO at GrowthX</t>
  </si>
  <si>
    <t xml:space="preserve">CEO at a US Advertising Services firm aligns with ICP.</t>
  </si>
  <si>
    <t xml:space="preserve">2026-08-22 00:23</t>
  </si>
  <si>
    <t xml:space="preserve">Patrick, MASI</t>
  </si>
  <si>
    <t xml:space="preserve">Founder &amp; Chief Swag Officer</t>
  </si>
  <si>
    <t xml:space="preserve">KP Innovations</t>
  </si>
  <si>
    <t xml:space="preserve">Horsham, Pennsylvania, United States</t>
  </si>
  <si>
    <t xml:space="preserve">https://kpinnovations.us</t>
  </si>
  <si>
    <t xml:space="preserve">https://www.linkedin.com/in/ACwAAEgXzZ8B3PTyIDbc_URsVEoOTtPeQSEy6aE</t>
  </si>
  <si>
    <t xml:space="preserve">https://www.linkedin.com/company/kp-innovations/</t>
  </si>
  <si>
    <t xml:space="preserve">Kevin Patrick is the Founder of KP Innovations, host of the Beyond the Swag Podcast, and the driving force behind the Merch Is Media™ movement. Known for challenging the traditional promotional produc...</t>
  </si>
  <si>
    <t xml:space="preserve">Founder role aligns with ICP; industry and location match US; company size is within ICP band.</t>
  </si>
  <si>
    <t xml:space="preserve">Sharon Shamiko</t>
  </si>
  <si>
    <t xml:space="preserve">Innovative Entrepreneur. Art Director. Visual UX Designer</t>
  </si>
  <si>
    <t xml:space="preserve">Shamiko Design</t>
  </si>
  <si>
    <t xml:space="preserve">https://shamikodesign.com</t>
  </si>
  <si>
    <t xml:space="preserve">https://www.linkedin.com/in/shamikodesign</t>
  </si>
  <si>
    <t xml:space="preserve">https://www.linkedin.com/company/shamiko-design/</t>
  </si>
  <si>
    <t xml:space="preserve">Founder, Art Director, UX/Visual Designer</t>
  </si>
  <si>
    <t xml:space="preserve">3/01/2008 - now</t>
  </si>
  <si>
    <t xml:space="preserve">Role maps to Art Director; industry, location, and size align with ICP.</t>
  </si>
  <si>
    <t xml:space="preserve">Arthur</t>
  </si>
  <si>
    <t xml:space="preserve">Germain</t>
  </si>
  <si>
    <t xml:space="preserve">Principal &amp; Chief Brandteller</t>
  </si>
  <si>
    <t xml:space="preserve">Brandtelling</t>
  </si>
  <si>
    <t xml:space="preserve">https://brandtelling.com</t>
  </si>
  <si>
    <t xml:space="preserve">https://www.linkedin.com/in/arthurgermain</t>
  </si>
  <si>
    <t xml:space="preserve">https://www.linkedin.com/company/brandtelling-a-brand-storytelling-agency/</t>
  </si>
  <si>
    <t xml:space="preserve">Turning your scattered brand stories into a clear, consistent system for your founder-led, growth-stage B2B firm. Author, The Art of Brandtelling.</t>
  </si>
  <si>
    <t xml:space="preserve">5/8/2005 - now</t>
  </si>
  <si>
    <t xml:space="preserve">Founder-level role mapped to ICP; US location and Marketing Services industry align closely to ICP.</t>
  </si>
  <si>
    <t xml:space="preserve">Brinson ⚡</t>
  </si>
  <si>
    <t xml:space="preserve">https://www.linkedin.com/in/brinson-⚡-mcgowan-a9083064</t>
  </si>
  <si>
    <t xml:space="preserve">Creative Director ⚡️ using storytelling 📰  branding ✨ai 👾 digital products📱 to create imperfect human magic for the good of ALL humanity.  Ex-Meta, Strava ✨ NEW to NYC 🗽</t>
  </si>
  <si>
    <t xml:space="preserve">Founder &amp; Creative Director in US design services with 2-10 employees aligns with ICP.</t>
  </si>
  <si>
    <t xml:space="preserve">Moeez</t>
  </si>
  <si>
    <t xml:space="preserve">Founder &amp; Creative Director </t>
  </si>
  <si>
    <t xml:space="preserve">Creative art</t>
  </si>
  <si>
    <t xml:space="preserve">https://creativeartweb.com</t>
  </si>
  <si>
    <t xml:space="preserve">https://www.linkedin.com/in/ACwAAA8n1KoBZC9qQdjH6dQ5x4HdYvrP-iFOboU</t>
  </si>
  <si>
    <t xml:space="preserve">https://www.linkedin.com/company/creativeart/</t>
  </si>
  <si>
    <t xml:space="preserve">Hey there! 👋 I’m Moeez, 
I help US/UK startups and agencies with premium branding and graphic design. I’d love to connect and explore how I can support your next creative project. I work flexible ho...</t>
  </si>
  <si>
    <t xml:space="preserve">1/1/2009 - now</t>
  </si>
  <si>
    <t xml:space="preserve">Role aligns with ICP titles; location and industry match the US-based ICP.</t>
  </si>
  <si>
    <t xml:space="preserve">McClelland</t>
  </si>
  <si>
    <t xml:space="preserve">CEO | Chief Brand Strategy &amp; Client Officer</t>
  </si>
  <si>
    <t xml:space="preserve">Purple Crayon Brand</t>
  </si>
  <si>
    <t xml:space="preserve">https://purplecrayonbrand.com</t>
  </si>
  <si>
    <t xml:space="preserve">https://www.linkedin.com/in/jeffmcclelland1</t>
  </si>
  <si>
    <t xml:space="preserve">https://www.linkedin.com/company/purplecrayonbrand/</t>
  </si>
  <si>
    <t xml:space="preserve">CEO of Purple Crayon Brand</t>
  </si>
  <si>
    <t xml:space="preserve">Role maps to ICP titles (CEO) and all ICP criteria align.</t>
  </si>
  <si>
    <t xml:space="preserve">Kim</t>
  </si>
  <si>
    <t xml:space="preserve">Castle</t>
  </si>
  <si>
    <t xml:space="preserve">Co-Founder / Director of AI Character Development</t>
  </si>
  <si>
    <t xml:space="preserve">Brandom Agency</t>
  </si>
  <si>
    <t xml:space="preserve">https://brandom.agency</t>
  </si>
  <si>
    <t xml:space="preserve">https://www.linkedin.com/in/ACwAAAOCXj0BQJdE7nNWR6U2y-O0yCNZeHqAGA0</t>
  </si>
  <si>
    <t xml:space="preserve">https://www.linkedin.com/company/brandomagency/</t>
  </si>
  <si>
    <t xml:space="preserve">Can I tell you something nobody talks about honestly? Especially on LinkedIn.
Most successful female founders are living an unspoken contradiction. And it aches.
You've built something real.
You have...</t>
  </si>
  <si>
    <t xml:space="preserve">4/10/2017 - now</t>
  </si>
  <si>
    <t xml:space="preserve">Role maps to Founder; industry and location align; company size matches ICP.</t>
  </si>
  <si>
    <t xml:space="preserve">Touidjine-Williams</t>
  </si>
  <si>
    <t xml:space="preserve">SPACETWO Creative Director </t>
  </si>
  <si>
    <t xml:space="preserve">SPACETWO</t>
  </si>
  <si>
    <t xml:space="preserve">https://spacetwo.co</t>
  </si>
  <si>
    <t xml:space="preserve">https://www.linkedin.com/in/ACwAAANCPpEBvaKOgjTAQlTYDyo9Smww3vkVb3A</t>
  </si>
  <si>
    <t xml:space="preserve">https://www.linkedin.com/company/spacetwo/</t>
  </si>
  <si>
    <t xml:space="preserve">Product and Art addicted, Senior Creative Executive with years of leadership in Sport and Fashion industries. People-driven, result-oriented, product-lover, strategic thinker with a bias for action. E...</t>
  </si>
  <si>
    <t xml:space="preserve">3/2/2022 - now</t>
  </si>
  <si>
    <t xml:space="preserve">Role aligns with Creative Director; industry and location fit ICP.</t>
  </si>
  <si>
    <t xml:space="preserve">Hoffman</t>
  </si>
  <si>
    <t xml:space="preserve">CEO / Director Of Design Services</t>
  </si>
  <si>
    <t xml:space="preserve">REFORM COLLECTIVE ©</t>
  </si>
  <si>
    <t xml:space="preserve">Eagle Mountain, Utah, United States</t>
  </si>
  <si>
    <t xml:space="preserve">https://reformcollective.com</t>
  </si>
  <si>
    <t xml:space="preserve">https://www.linkedin.com/in/kolage</t>
  </si>
  <si>
    <t xml:space="preserve">https://www.linkedin.com/company/reformcollective/</t>
  </si>
  <si>
    <t xml:space="preserve">Quality Assurance Manager at OneGreatFamily.com</t>
  </si>
  <si>
    <t xml:space="preserve">CEO-level role aligns with ICP; location, industry, and size match.</t>
  </si>
  <si>
    <t xml:space="preserve">Fox</t>
  </si>
  <si>
    <t xml:space="preserve">Foxy Digital</t>
  </si>
  <si>
    <t xml:space="preserve">Agoura Hills, California, United States</t>
  </si>
  <si>
    <t xml:space="preserve">https://foxydigital.ai</t>
  </si>
  <si>
    <t xml:space="preserve">https://www.linkedin.com/in/andrewstephenfox</t>
  </si>
  <si>
    <t xml:space="preserve">https://www.linkedin.com/company/foxydigitalai/</t>
  </si>
  <si>
    <t xml:space="preserve">Helping Personal Injury Law Firms Generate More Qualified Cases by Outsmarting the Market | Fractional Marketing Leadership | Proven Growth Strategy &amp; Execution | CEO &amp; Founder, Foxy Digital</t>
  </si>
  <si>
    <t xml:space="preserve">Strong fit: CEO/Founder in US advertising/marketing with 2-10 employees.</t>
  </si>
  <si>
    <t xml:space="preserve">Kat</t>
  </si>
  <si>
    <t xml:space="preserve">McCord</t>
  </si>
  <si>
    <t xml:space="preserve">Creative Director &amp; Co-founder</t>
  </si>
  <si>
    <t xml:space="preserve">Thackway McCord</t>
  </si>
  <si>
    <t xml:space="preserve">http://www.thackwaymccord.com</t>
  </si>
  <si>
    <t xml:space="preserve">https://www.linkedin.com/in/kat-mccord-8937036</t>
  </si>
  <si>
    <t xml:space="preserve">https://linkedin.com/company/9292070</t>
  </si>
  <si>
    <t xml:space="preserve">Creative Director, Thackway McCord</t>
  </si>
  <si>
    <t xml:space="preserve">01/01/2007 - Present</t>
  </si>
  <si>
    <t xml:space="preserve">2026-08-21 19:26</t>
  </si>
  <si>
    <t xml:space="preserve">Michelle</t>
  </si>
  <si>
    <t xml:space="preserve">Mickey, CFRE</t>
  </si>
  <si>
    <t xml:space="preserve">Zachry Associates</t>
  </si>
  <si>
    <t xml:space="preserve">Abilene, Texas, United States</t>
  </si>
  <si>
    <t xml:space="preserve">http://www.zachryinc.com</t>
  </si>
  <si>
    <t xml:space="preserve">https://www.linkedin.com/in/michelle-mickey-cfre-402b2221</t>
  </si>
  <si>
    <t xml:space="preserve">https://linkedin.com/company/215585</t>
  </si>
  <si>
    <t xml:space="preserve">Director Of Client Services at Zachry Associates</t>
  </si>
  <si>
    <t xml:space="preserve">05/01/2018 - Present</t>
  </si>
  <si>
    <t xml:space="preserve">Shiloe</t>
  </si>
  <si>
    <t xml:space="preserve">Goodliffe</t>
  </si>
  <si>
    <t xml:space="preserve">Porter Pro Media</t>
  </si>
  <si>
    <t xml:space="preserve">Idaho Falls, Idaho, United States</t>
  </si>
  <si>
    <t xml:space="preserve">https://www.linkedin.com/in/shiloe-goodliffe-29719725a</t>
  </si>
  <si>
    <t xml:space="preserve">https://linkedin.com/company/17879765</t>
  </si>
  <si>
    <t xml:space="preserve">Client Success Manager | Set Designer | Illustrator | Raisins are the Devil’s chocolate</t>
  </si>
  <si>
    <t xml:space="preserve">12/01/2024 - Present</t>
  </si>
  <si>
    <t xml:space="preserve">Caty</t>
  </si>
  <si>
    <t xml:space="preserve">WebStrategies, Inc.</t>
  </si>
  <si>
    <t xml:space="preserve">Meridian, Idaho, United States</t>
  </si>
  <si>
    <t xml:space="preserve">www.hawkemedia.com</t>
  </si>
  <si>
    <t xml:space="preserve">https://www.linkedin.com/in/catyzimmerman</t>
  </si>
  <si>
    <t xml:space="preserve">https://linkedin.com/company/725537</t>
  </si>
  <si>
    <t xml:space="preserve">Client Success Manager @ Geear | Digital Marketing Strategist | Data-Driven Storyteller | Customer Obsessed &amp; Results Focused | Connector of People, Platforms &amp; Possibilities 🚀🤝📈</t>
  </si>
  <si>
    <t xml:space="preserve">Giovanni</t>
  </si>
  <si>
    <t xml:space="preserve">Promobile Kitchen</t>
  </si>
  <si>
    <t xml:space="preserve">www.promobilemarketing.com</t>
  </si>
  <si>
    <t xml:space="preserve">https://www.linkedin.com/in/giovanni-martinez-7aba8412b</t>
  </si>
  <si>
    <t xml:space="preserve">https://linkedin.com/company/11053555</t>
  </si>
  <si>
    <t xml:space="preserve">Chief Sales Officer and Co-Founder at Promobile Marketing</t>
  </si>
  <si>
    <t xml:space="preserve">09/01/2012 - Present</t>
  </si>
  <si>
    <t xml:space="preserve">Wills</t>
  </si>
  <si>
    <t xml:space="preserve">Pophouse</t>
  </si>
  <si>
    <t xml:space="preserve">Pleasant Ridge, Michigan, United States</t>
  </si>
  <si>
    <t xml:space="preserve">https://www.linkedin.com/in/willsjordan</t>
  </si>
  <si>
    <t xml:space="preserve">https://linkedin.com/company/3365661</t>
  </si>
  <si>
    <t xml:space="preserve">Director of Client Services at Pophouse</t>
  </si>
  <si>
    <t xml:space="preserve">Ben</t>
  </si>
  <si>
    <t xml:space="preserve">Kracke, AIA</t>
  </si>
  <si>
    <t xml:space="preserve">Creative and Managing Director</t>
  </si>
  <si>
    <t xml:space="preserve">Rapt Studio</t>
  </si>
  <si>
    <t xml:space="preserve">https://www.linkedin.com/in/benkracke</t>
  </si>
  <si>
    <t xml:space="preserve">https://linkedin.com/company/2361016</t>
  </si>
  <si>
    <t xml:space="preserve">Taryn</t>
  </si>
  <si>
    <t xml:space="preserve">Saturn</t>
  </si>
  <si>
    <t xml:space="preserve">Contrast &amp; Co.</t>
  </si>
  <si>
    <t xml:space="preserve">Gaithersburg, Maryland, United States</t>
  </si>
  <si>
    <t xml:space="preserve">https://www.linkedin.com/in/taryn-saturn-203b6052</t>
  </si>
  <si>
    <t xml:space="preserve">https://linkedin.com/company/11415317</t>
  </si>
  <si>
    <t xml:space="preserve">Director, Client Services</t>
  </si>
  <si>
    <t xml:space="preserve">02/01/2022 - Present</t>
  </si>
  <si>
    <t xml:space="preserve">Peter</t>
  </si>
  <si>
    <t xml:space="preserve">Hedley - CoreCentrica</t>
  </si>
  <si>
    <t xml:space="preserve">Co-Founder | Creative Art Director</t>
  </si>
  <si>
    <t xml:space="preserve">CoreCentrica</t>
  </si>
  <si>
    <t xml:space="preserve">Springfield, New Hampshire, United States</t>
  </si>
  <si>
    <t xml:space="preserve">https://www.corecentrica.com</t>
  </si>
  <si>
    <t xml:space="preserve">https://www.linkedin.com/in/corecentrica</t>
  </si>
  <si>
    <t xml:space="preserve">https://linkedin.com/company/100316296</t>
  </si>
  <si>
    <t xml:space="preserve">Creative Art Director &amp; Brand Strategist | CC Co-Founder</t>
  </si>
  <si>
    <t xml:space="preserve">11/01/2023 - Present</t>
  </si>
  <si>
    <t xml:space="preserve">Krump</t>
  </si>
  <si>
    <t xml:space="preserve">ScrnNow - Monetizing digital screens with programmatic advertising</t>
  </si>
  <si>
    <t xml:space="preserve">https://scrnnow.com</t>
  </si>
  <si>
    <t xml:space="preserve">https://www.linkedin.com/in/lucaskrump</t>
  </si>
  <si>
    <t xml:space="preserve">https://www.linkedin.com/company/scrnnow/</t>
  </si>
  <si>
    <t xml:space="preserve">Partner at Skyspace Institute</t>
  </si>
  <si>
    <t xml:space="preserve">3/3/2025 - now</t>
  </si>
  <si>
    <t xml:space="preserve">CEO role aligns with ICP; located in US; company size matches 2-10; industry fits Advertising Services.</t>
  </si>
  <si>
    <t xml:space="preserve">2026-08-21 16:43</t>
  </si>
  <si>
    <t xml:space="preserve">Bill</t>
  </si>
  <si>
    <t xml:space="preserve">Goodwin</t>
  </si>
  <si>
    <t xml:space="preserve">Founder </t>
  </si>
  <si>
    <t xml:space="preserve">Goodwin Design Group</t>
  </si>
  <si>
    <t xml:space="preserve">Greater Philadelphia, United States</t>
  </si>
  <si>
    <t xml:space="preserve">https://goodwindesigngroup.com</t>
  </si>
  <si>
    <t xml:space="preserve">https://www.linkedin.com/in/billgoodwin</t>
  </si>
  <si>
    <t xml:space="preserve">https://www.linkedin.com/company/goodwin-design-group/</t>
  </si>
  <si>
    <t xml:space="preserve">Founder @ Goodwin Group, Goodwin Holdings &amp; Goodwin Design Group | Consultant &amp; Connector | Branding &amp; Design | Advisor, Investor &amp; Board Member | 35+ Years Experience</t>
  </si>
  <si>
    <t xml:space="preserve">4/4/1996 - now</t>
  </si>
  <si>
    <t xml:space="preserve">Founder aligns with ICP title; Design Services in US, 2-10 employees, based in Greater Philadelphia.</t>
  </si>
  <si>
    <t xml:space="preserve">Sixfold</t>
  </si>
  <si>
    <t xml:space="preserve">Glastonbury, Connecticut, United States</t>
  </si>
  <si>
    <t xml:space="preserve">https://www.linkedin.com/in/dan-sullivan-a712901</t>
  </si>
  <si>
    <t xml:space="preserve">https://www.linkedin.com/company/sixfoldco/</t>
  </si>
  <si>
    <t xml:space="preserve">Creative Director at Sixfold</t>
  </si>
  <si>
    <t xml:space="preserve">Creative Director in US marketing services; size slightly small but fits ICP.</t>
  </si>
  <si>
    <t xml:space="preserve">Naaman</t>
  </si>
  <si>
    <t xml:space="preserve">OppKo</t>
  </si>
  <si>
    <t xml:space="preserve">https://www.linkedin.com/in/ACwAAANrbUYBwntDpRJv1j-I1p3vjYISqDQ8Nvg</t>
  </si>
  <si>
    <t xml:space="preserve">https://www.linkedin.com/company/oppko/</t>
  </si>
  <si>
    <t xml:space="preserve">As a seasoned Creative Director, Designer, Digital Marketer, Educator, and Entrepreneur, Josh Naaman brings a wealth of expertise and passion to every project. With six years of teaching experience at...</t>
  </si>
  <si>
    <t xml:space="preserve">Role maps to Founder; location and size align; industry is adjacent.</t>
  </si>
  <si>
    <t xml:space="preserve">2026-08-21 16:42</t>
  </si>
  <si>
    <t xml:space="preserve">Claire</t>
  </si>
  <si>
    <t xml:space="preserve">Marie</t>
  </si>
  <si>
    <t xml:space="preserve">Commit</t>
  </si>
  <si>
    <t xml:space="preserve">https://commitbranding.com</t>
  </si>
  <si>
    <t xml:space="preserve">https://www.linkedin.com/in/claireanderson27</t>
  </si>
  <si>
    <t xml:space="preserve">https://www.linkedin.com/company/timetocommit/</t>
  </si>
  <si>
    <t xml:space="preserve">✦  Brand &amp; Mind Strategist    ☞ Founder of Alchemy</t>
  </si>
  <si>
    <t xml:space="preserve">Role aligns with ICP senior creative leadership; industry and location match; company size perfect.</t>
  </si>
  <si>
    <t xml:space="preserve">Rajat</t>
  </si>
  <si>
    <t xml:space="preserve">Kapur</t>
  </si>
  <si>
    <t xml:space="preserve">&amp;Marketing</t>
  </si>
  <si>
    <t xml:space="preserve">https://and-marketing.com</t>
  </si>
  <si>
    <t xml:space="preserve">https://www.linkedin.com/in/rkapur105</t>
  </si>
  <si>
    <t xml:space="preserve">https://www.linkedin.com/company/andmarketing/</t>
  </si>
  <si>
    <t xml:space="preserve">“I promise I’ve fired more marketing agencies than you have”  | Shaping the Future of Marketing Leadership | Fractional CMO | GTM Strategy Consulting  | Advisor | AI Forward | Founder &amp; CEO &amp;Marketing | MBE | #WeRunOnEOS</t>
  </si>
  <si>
    <t xml:space="preserve">Role maps to Founder &amp; CEO; location and company size align with the ICP.</t>
  </si>
  <si>
    <t xml:space="preserve">Richardson</t>
  </si>
  <si>
    <t xml:space="preserve">US Managing Director</t>
  </si>
  <si>
    <t xml:space="preserve">Digital Natives</t>
  </si>
  <si>
    <t xml:space="preserve">Boston, Massachusetts, United States</t>
  </si>
  <si>
    <t xml:space="preserve">https://digitalnativescontent.com</t>
  </si>
  <si>
    <t xml:space="preserve">https://www.linkedin.com/in/patrickrichardson</t>
  </si>
  <si>
    <t xml:space="preserve">https://www.linkedin.com/company/digitalnativescontent/</t>
  </si>
  <si>
    <t xml:space="preserve">Global Connector I Agency Founder I Fractional Managing Director</t>
  </si>
  <si>
    <t xml:space="preserve">Role maps to Managing Director; US location matches ICP; company size aligns; industry fits Marketing/Advertising.</t>
  </si>
  <si>
    <t xml:space="preserve">Syed Wahaj</t>
  </si>
  <si>
    <t xml:space="preserve">CloseCrew Marketing</t>
  </si>
  <si>
    <t xml:space="preserve">https://closecrewmarketing.com</t>
  </si>
  <si>
    <t xml:space="preserve">https://www.linkedin.com/in/ACwAACu_0XkBmr6eAVEtaWatCI_lP3bGlmtRIw8</t>
  </si>
  <si>
    <t xml:space="preserve">https://www.linkedin.com/company/closecrewmarketing/</t>
  </si>
  <si>
    <t xml:space="preserve">I work with advertisers to reduce costs and grow revenue, focusing on results that speak for themselves while consistently exceeding client expectations.
We specialize in industries like Insurance, L...</t>
  </si>
  <si>
    <t xml:space="preserve">CEO maps to ICP role; location and industry align with ICP, strong overall fit.</t>
  </si>
  <si>
    <t xml:space="preserve">Julie Elaine</t>
  </si>
  <si>
    <t xml:space="preserve">Brown M.A., NASM-CNC</t>
  </si>
  <si>
    <t xml:space="preserve">Founder and Chief Strategist</t>
  </si>
  <si>
    <t xml:space="preserve">Julie Elaine Brown Consulting</t>
  </si>
  <si>
    <t xml:space="preserve">https://julieelainebrown.com</t>
  </si>
  <si>
    <t xml:space="preserve">https://www.linkedin.com/in/julieelainebrown</t>
  </si>
  <si>
    <t xml:space="preserve">https://www.linkedin.com/company/julie-elaine-brown-and-company-consulting/</t>
  </si>
  <si>
    <t xml:space="preserve">Four-Time Founder &amp; Fractional CMO | Brand, Narrative &amp; GTM Strategist for Category-Defining Brands | Former Journalist | Reversed My Biological &amp; Organ Age | Building Lumine</t>
  </si>
  <si>
    <t xml:space="preserve">6/2/2013 - now</t>
  </si>
  <si>
    <t xml:space="preserve">Role maps to Founder; industry aligns with Marketing/Advertising; location and size match ICP.</t>
  </si>
  <si>
    <t xml:space="preserve">Guillou</t>
  </si>
  <si>
    <t xml:space="preserve">Rosewood Creative</t>
  </si>
  <si>
    <t xml:space="preserve">https://rosewoodcreative.com</t>
  </si>
  <si>
    <t xml:space="preserve">https://www.linkedin.com/in/natguillou</t>
  </si>
  <si>
    <t xml:space="preserve">https://www.linkedin.com/company/rosewood-creative/</t>
  </si>
  <si>
    <t xml:space="preserve">Freelance Social Creative Director - Entertainment, Fashion, and Brand </t>
  </si>
  <si>
    <t xml:space="preserve">Role matches ICP; industry, location, and company size align with the target profile.</t>
  </si>
  <si>
    <t xml:space="preserve">AEO Labs</t>
  </si>
  <si>
    <t xml:space="preserve">Encinitas, California, United States</t>
  </si>
  <si>
    <t xml:space="preserve">https://aeolabs.ai</t>
  </si>
  <si>
    <t xml:space="preserve">https://www.linkedin.com/in/aidoshaw</t>
  </si>
  <si>
    <t xml:space="preserve">https://www.linkedin.com/company/aeo-labs-ai/</t>
  </si>
  <si>
    <t xml:space="preserve">AEO for SaaS &amp; DTC: I get brands cited by ChatGPT, Perplexity &amp; Gemini | Answer Engine Optimization + SEO | 3 yrs Head of SEO/AEO @ OpenSea | $100M+ client revenue | Upwork Expert-Vetted, Top 1% | Founder @ AEO Labs</t>
  </si>
  <si>
    <t xml:space="preserve">Kent</t>
  </si>
  <si>
    <t xml:space="preserve">Lewis</t>
  </si>
  <si>
    <t xml:space="preserve">Executive Director</t>
  </si>
  <si>
    <t xml:space="preserve">NextNW</t>
  </si>
  <si>
    <t xml:space="preserve">https://thinknw.org</t>
  </si>
  <si>
    <t xml:space="preserve">https://www.linkedin.com/in/ACwAAAAE9jIBQ13b6NaAwoRFElErI2a88VDw0zA</t>
  </si>
  <si>
    <t xml:space="preserve">https://www.linkedin.com/company/nextnw/</t>
  </si>
  <si>
    <t xml:space="preserve">I’m a digital OG and passionate entrepreneur who regularly speaks, is frequently quoted by industry media and writes for publications including Inc, The Business Journals, and SmartBrief. In 1999, ai ...</t>
  </si>
  <si>
    <t xml:space="preserve">2/01/2007 - now</t>
  </si>
  <si>
    <t xml:space="preserve">Executive Director aligns with Managing Director level in ICP, Advertising Services industry matches, US location matches, company size slightly smaller than ICP band.</t>
  </si>
  <si>
    <t xml:space="preserve">Lorenz</t>
  </si>
  <si>
    <t xml:space="preserve">Esposito</t>
  </si>
  <si>
    <t xml:space="preserve">SearchX</t>
  </si>
  <si>
    <t xml:space="preserve">https://searchxpro.com</t>
  </si>
  <si>
    <t xml:space="preserve">https://www.linkedin.com/in/ACwAABdBjs4BCPMS4E17b1_WjHXQYuSPk7sAfKY</t>
  </si>
  <si>
    <t xml:space="preserve">https://www.linkedin.com/company/searchxpro/</t>
  </si>
  <si>
    <t xml:space="preserve">Imagine your business in the Top 3 search results in Google, Bing and LLM's—What would that mean for your business?
SEO isn't just about keywords and rankings. It's the backbone and foundation of eve...</t>
  </si>
  <si>
    <t xml:space="preserve">Role aligns with Founder/CEO; industry, location, and size align with the ICP for US-based marketing/design services.</t>
  </si>
  <si>
    <t xml:space="preserve">McGrew</t>
  </si>
  <si>
    <t xml:space="preserve">Founder, CEO &amp; Chief Strategist</t>
  </si>
  <si>
    <t xml:space="preserve">Everzocial | Digital Marketing Agency</t>
  </si>
  <si>
    <t xml:space="preserve">https://everzocial.com</t>
  </si>
  <si>
    <t xml:space="preserve">https://www.linkedin.com/in/ACwAAAAxNC4BibCaTyETRhZUUlZwecRE6Tytrp0</t>
  </si>
  <si>
    <t xml:space="preserve">https://www.linkedin.com/company/everzocial/</t>
  </si>
  <si>
    <t xml:space="preserve">Over half of all businesses fail. Not from bad products. Not from bad people. From the same cause, repeated across industries, company sizes, and market conditions: they entered the battlefield withou...</t>
  </si>
  <si>
    <t xml:space="preserve">01/9/2011 - now</t>
  </si>
  <si>
    <t xml:space="preserve">Founder/CEO role aligns with ICP and location/industry match.</t>
  </si>
  <si>
    <t xml:space="preserve">Agency - Eikko leads — Gojiberry list 45132 (agent 'Agency - Eikko', id 29267)</t>
  </si>
  <si>
    <t xml:space="preserve">Source: Gojiberry API via Penji Gojiberry connector, pulled 2026-09-07 ~12:45 UTC (20:45 PHT). 'Previously exported' = LinkedIn URL matches one of the 2026-09-02 Dripify import files (Amanda Scott / Whitney Cole).</t>
  </si>
  <si>
    <t xml:space="preserve">Export status</t>
  </si>
  <si>
    <t xml:space="preserve">Leads</t>
  </si>
  <si>
    <t xml:space="preserve">Total in list</t>
  </si>
  <si>
    <t xml:space="preserve">Intent type (how Gojiberry found them)</t>
  </si>
  <si>
    <t xml:space="preserve">Share</t>
  </si>
  <si>
    <t xml:space="preserve">Check: sum of intent types</t>
  </si>
  <si>
    <t xml:space="preserve">Data quality</t>
  </si>
  <si>
    <t xml:space="preserve">With email</t>
  </si>
  <si>
    <t xml:space="preserve">With phone</t>
  </si>
  <si>
    <t xml:space="preserve">Open to work</t>
  </si>
  <si>
    <t xml:space="preserve">Total score ≥ 2.0</t>
  </si>
  <si>
    <t xml:space="preserve">Average ICP fit score</t>
  </si>
  <si>
    <t xml:space="preserve">Added on 2026-09-07 (PHT)</t>
  </si>
  <si>
    <t xml:space="preserve">Note: Gojiberry has enriched no emails or phones on this list (enrichment costs credits and was not run). Company-size labels vary because Gojiberry stores the raw LinkedIn value.</t>
  </si>
</sst>
</file>

<file path=xl/styles.xml><?xml version="1.0" encoding="utf-8"?>
<styleSheet xmlns="http://schemas.openxmlformats.org/spreadsheetml/2006/main">
  <numFmts count="3">
    <numFmt numFmtId="164" formatCode="General"/>
    <numFmt numFmtId="165" formatCode="0.00"/>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2"/>
      <name val="Arial"/>
      <family val="0"/>
      <charset val="1"/>
    </font>
    <font>
      <b val="true"/>
      <sz val="10"/>
      <name val="Arial"/>
      <family val="0"/>
      <charset val="1"/>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EDEDED"/>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EDEDE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30"/>
    <col collapsed="false" customWidth="true" hidden="false" outlineLevel="0" max="4" min="4" style="0" width="28"/>
    <col collapsed="false" customWidth="true" hidden="false" outlineLevel="0" max="5" min="5" style="0" width="16"/>
    <col collapsed="false" customWidth="true" hidden="false" outlineLevel="0" max="6" min="6" style="0" width="24"/>
    <col collapsed="false" customWidth="true" hidden="false" outlineLevel="0" max="7" min="7" style="0" width="30"/>
    <col collapsed="false" customWidth="true" hidden="false" outlineLevel="0" max="8" min="8" style="0" width="28"/>
    <col collapsed="false" customWidth="true" hidden="false" outlineLevel="0" max="9" min="9" style="0" width="40"/>
    <col collapsed="false" customWidth="true" hidden="false" outlineLevel="0" max="10" min="10" style="0" width="34"/>
    <col collapsed="false" customWidth="true" hidden="false" outlineLevel="0" max="11" min="11" style="0" width="50"/>
    <col collapsed="false" customWidth="true" hidden="false" outlineLevel="0" max="12" min="12" style="0" width="20"/>
    <col collapsed="false" customWidth="true" hidden="false" outlineLevel="0" max="13" min="13" style="0" width="22"/>
    <col collapsed="false" customWidth="true" hidden="false" outlineLevel="0" max="14" min="14" style="0" width="14"/>
    <col collapsed="false" customWidth="true" hidden="false" outlineLevel="0" max="15" min="15" style="0" width="22"/>
    <col collapsed="false" customWidth="true" hidden="false" outlineLevel="0" max="16" min="16" style="0" width="40"/>
    <col collapsed="false" customWidth="true" hidden="false" outlineLevel="0" max="17" min="17" style="0" width="18"/>
    <col collapsed="false" customWidth="true" hidden="false" outlineLevel="0" max="20" min="18" style="0" width="12"/>
    <col collapsed="false" customWidth="true" hidden="false" outlineLevel="0" max="21" min="21" style="0" width="60"/>
    <col collapsed="false" customWidth="true" hidden="false" outlineLevel="0" max="22" min="22" style="0" width="12"/>
    <col collapsed="false" customWidth="true" hidden="false" outlineLevel="0" max="23" min="23" style="0" width="17"/>
    <col collapsed="false" customWidth="true" hidden="false" outlineLevel="0" max="24" min="24" style="0" width="40"/>
    <col collapsed="false" customWidth="true" hidden="false" outlineLevel="0" max="25" min="25" style="0" width="18"/>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ustomFormat="false" ht="15" hidden="false" customHeight="false" outlineLevel="0" collapsed="false">
      <c r="A2" s="2" t="s">
        <v>25</v>
      </c>
      <c r="B2" s="2" t="s">
        <v>26</v>
      </c>
      <c r="C2" s="2" t="s">
        <v>27</v>
      </c>
      <c r="D2" s="2" t="s">
        <v>28</v>
      </c>
      <c r="E2" s="2" t="s">
        <v>29</v>
      </c>
      <c r="F2" s="2" t="s">
        <v>30</v>
      </c>
      <c r="G2" s="2" t="s">
        <v>31</v>
      </c>
      <c r="H2" s="2" t="s">
        <v>32</v>
      </c>
      <c r="I2" s="2" t="s">
        <v>33</v>
      </c>
      <c r="J2" s="2" t="s">
        <v>34</v>
      </c>
      <c r="K2" s="2" t="s">
        <v>35</v>
      </c>
      <c r="L2" s="2" t="s">
        <v>36</v>
      </c>
      <c r="M2" s="2"/>
      <c r="N2" s="2"/>
      <c r="O2" s="2" t="s">
        <v>37</v>
      </c>
      <c r="P2" s="2" t="s">
        <v>38</v>
      </c>
      <c r="Q2" s="2"/>
      <c r="R2" s="3" t="n">
        <v>0.86</v>
      </c>
      <c r="S2" s="3" t="n">
        <v>1.2</v>
      </c>
      <c r="T2" s="3" t="n">
        <v>1.9</v>
      </c>
      <c r="U2" s="2" t="s">
        <v>39</v>
      </c>
      <c r="V2" s="2" t="s">
        <v>40</v>
      </c>
      <c r="W2" s="2" t="s">
        <v>41</v>
      </c>
      <c r="X2" s="4" t="s">
        <v>42</v>
      </c>
      <c r="Y2" s="2" t="n">
        <v>17429758</v>
      </c>
    </row>
    <row r="3" customFormat="false" ht="15" hidden="false" customHeight="false" outlineLevel="0" collapsed="false">
      <c r="A3" s="2" t="s">
        <v>43</v>
      </c>
      <c r="B3" s="2" t="s">
        <v>44</v>
      </c>
      <c r="C3" s="2" t="s">
        <v>45</v>
      </c>
      <c r="D3" s="2" t="s">
        <v>46</v>
      </c>
      <c r="E3" s="2" t="s">
        <v>47</v>
      </c>
      <c r="F3" s="2" t="s">
        <v>48</v>
      </c>
      <c r="G3" s="2" t="s">
        <v>49</v>
      </c>
      <c r="H3" s="2"/>
      <c r="I3" s="2" t="s">
        <v>50</v>
      </c>
      <c r="J3" s="2" t="s">
        <v>51</v>
      </c>
      <c r="K3" s="2" t="s">
        <v>52</v>
      </c>
      <c r="L3" s="2" t="s">
        <v>53</v>
      </c>
      <c r="M3" s="2"/>
      <c r="N3" s="2"/>
      <c r="O3" s="2" t="s">
        <v>37</v>
      </c>
      <c r="P3" s="2" t="s">
        <v>38</v>
      </c>
      <c r="Q3" s="2"/>
      <c r="R3" s="3" t="n">
        <v>0.96</v>
      </c>
      <c r="S3" s="3" t="n">
        <v>1.2</v>
      </c>
      <c r="T3" s="3" t="n">
        <v>2</v>
      </c>
      <c r="U3" s="2" t="s">
        <v>54</v>
      </c>
      <c r="V3" s="2" t="s">
        <v>40</v>
      </c>
      <c r="W3" s="2" t="s">
        <v>41</v>
      </c>
      <c r="X3" s="4" t="s">
        <v>42</v>
      </c>
      <c r="Y3" s="2" t="n">
        <v>17429737</v>
      </c>
    </row>
    <row r="4" customFormat="false" ht="15" hidden="false" customHeight="false" outlineLevel="0" collapsed="false">
      <c r="A4" s="2" t="s">
        <v>55</v>
      </c>
      <c r="B4" s="2" t="s">
        <v>56</v>
      </c>
      <c r="C4" s="2" t="s">
        <v>45</v>
      </c>
      <c r="D4" s="2" t="s">
        <v>57</v>
      </c>
      <c r="E4" s="2" t="s">
        <v>58</v>
      </c>
      <c r="F4" s="2" t="s">
        <v>30</v>
      </c>
      <c r="G4" s="2" t="s">
        <v>59</v>
      </c>
      <c r="H4" s="2" t="s">
        <v>60</v>
      </c>
      <c r="I4" s="2" t="s">
        <v>61</v>
      </c>
      <c r="J4" s="2" t="s">
        <v>62</v>
      </c>
      <c r="K4" s="2" t="s">
        <v>45</v>
      </c>
      <c r="L4" s="2" t="s">
        <v>63</v>
      </c>
      <c r="M4" s="2"/>
      <c r="N4" s="2"/>
      <c r="O4" s="2" t="s">
        <v>37</v>
      </c>
      <c r="P4" s="2" t="s">
        <v>38</v>
      </c>
      <c r="Q4" s="2"/>
      <c r="R4" s="3" t="n">
        <v>0.98</v>
      </c>
      <c r="S4" s="3" t="n">
        <v>1.2</v>
      </c>
      <c r="T4" s="3" t="n">
        <v>2.1</v>
      </c>
      <c r="U4" s="2" t="s">
        <v>64</v>
      </c>
      <c r="V4" s="2" t="s">
        <v>40</v>
      </c>
      <c r="W4" s="2" t="s">
        <v>41</v>
      </c>
      <c r="X4" s="4" t="s">
        <v>42</v>
      </c>
      <c r="Y4" s="2" t="n">
        <v>17429708</v>
      </c>
    </row>
    <row r="5" customFormat="false" ht="15" hidden="false" customHeight="false" outlineLevel="0" collapsed="false">
      <c r="A5" s="2" t="s">
        <v>65</v>
      </c>
      <c r="B5" s="2" t="s">
        <v>66</v>
      </c>
      <c r="C5" s="2" t="s">
        <v>67</v>
      </c>
      <c r="D5" s="2" t="s">
        <v>68</v>
      </c>
      <c r="E5" s="2" t="s">
        <v>47</v>
      </c>
      <c r="F5" s="2" t="s">
        <v>48</v>
      </c>
      <c r="G5" s="2" t="s">
        <v>69</v>
      </c>
      <c r="H5" s="2" t="s">
        <v>70</v>
      </c>
      <c r="I5" s="2" t="s">
        <v>71</v>
      </c>
      <c r="J5" s="2" t="s">
        <v>72</v>
      </c>
      <c r="K5" s="2" t="s">
        <v>73</v>
      </c>
      <c r="L5" s="2" t="s">
        <v>74</v>
      </c>
      <c r="M5" s="2"/>
      <c r="N5" s="2"/>
      <c r="O5" s="2" t="s">
        <v>37</v>
      </c>
      <c r="P5" s="2" t="s">
        <v>38</v>
      </c>
      <c r="Q5" s="2"/>
      <c r="R5" s="3" t="n">
        <v>0.89</v>
      </c>
      <c r="S5" s="3" t="n">
        <v>1.2</v>
      </c>
      <c r="T5" s="3" t="n">
        <v>1.9</v>
      </c>
      <c r="U5" s="2" t="s">
        <v>75</v>
      </c>
      <c r="V5" s="2" t="s">
        <v>40</v>
      </c>
      <c r="W5" s="2" t="s">
        <v>41</v>
      </c>
      <c r="X5" s="4" t="s">
        <v>42</v>
      </c>
      <c r="Y5" s="2" t="n">
        <v>17429704</v>
      </c>
    </row>
    <row r="6" customFormat="false" ht="15" hidden="false" customHeight="false" outlineLevel="0" collapsed="false">
      <c r="A6" s="2" t="s">
        <v>76</v>
      </c>
      <c r="B6" s="2" t="s">
        <v>77</v>
      </c>
      <c r="C6" s="2" t="s">
        <v>45</v>
      </c>
      <c r="D6" s="2" t="s">
        <v>78</v>
      </c>
      <c r="E6" s="2" t="s">
        <v>47</v>
      </c>
      <c r="F6" s="2" t="s">
        <v>48</v>
      </c>
      <c r="G6" s="2" t="s">
        <v>79</v>
      </c>
      <c r="H6" s="2" t="s">
        <v>80</v>
      </c>
      <c r="I6" s="2" t="s">
        <v>81</v>
      </c>
      <c r="J6" s="2" t="s">
        <v>82</v>
      </c>
      <c r="K6" s="2" t="s">
        <v>83</v>
      </c>
      <c r="L6" s="2" t="s">
        <v>84</v>
      </c>
      <c r="M6" s="2"/>
      <c r="N6" s="2"/>
      <c r="O6" s="2" t="s">
        <v>37</v>
      </c>
      <c r="P6" s="2" t="s">
        <v>38</v>
      </c>
      <c r="Q6" s="2"/>
      <c r="R6" s="3" t="n">
        <v>0.85</v>
      </c>
      <c r="S6" s="3" t="n">
        <v>1.2</v>
      </c>
      <c r="T6" s="3" t="n">
        <v>1.9</v>
      </c>
      <c r="U6" s="2" t="s">
        <v>85</v>
      </c>
      <c r="V6" s="2" t="s">
        <v>40</v>
      </c>
      <c r="W6" s="2" t="s">
        <v>41</v>
      </c>
      <c r="X6" s="4" t="s">
        <v>42</v>
      </c>
      <c r="Y6" s="2" t="n">
        <v>17429699</v>
      </c>
    </row>
    <row r="7" customFormat="false" ht="15" hidden="false" customHeight="false" outlineLevel="0" collapsed="false">
      <c r="A7" s="2" t="s">
        <v>86</v>
      </c>
      <c r="B7" s="2" t="s">
        <v>87</v>
      </c>
      <c r="C7" s="2" t="s">
        <v>88</v>
      </c>
      <c r="D7" s="2" t="s">
        <v>89</v>
      </c>
      <c r="E7" s="2" t="s">
        <v>90</v>
      </c>
      <c r="F7" s="2" t="s">
        <v>48</v>
      </c>
      <c r="G7" s="2" t="s">
        <v>91</v>
      </c>
      <c r="H7" s="2" t="s">
        <v>92</v>
      </c>
      <c r="I7" s="2" t="s">
        <v>93</v>
      </c>
      <c r="J7" s="2" t="s">
        <v>94</v>
      </c>
      <c r="K7" s="2" t="s">
        <v>95</v>
      </c>
      <c r="L7" s="2" t="s">
        <v>96</v>
      </c>
      <c r="M7" s="2"/>
      <c r="N7" s="2"/>
      <c r="O7" s="2" t="s">
        <v>37</v>
      </c>
      <c r="P7" s="2" t="s">
        <v>38</v>
      </c>
      <c r="Q7" s="2"/>
      <c r="R7" s="3" t="n">
        <v>0.96</v>
      </c>
      <c r="S7" s="3" t="n">
        <v>1.2</v>
      </c>
      <c r="T7" s="3" t="n">
        <v>2</v>
      </c>
      <c r="U7" s="2" t="s">
        <v>97</v>
      </c>
      <c r="V7" s="2" t="s">
        <v>40</v>
      </c>
      <c r="W7" s="2" t="s">
        <v>98</v>
      </c>
      <c r="X7" s="4" t="s">
        <v>42</v>
      </c>
      <c r="Y7" s="2" t="n">
        <v>17429673</v>
      </c>
    </row>
    <row r="8" customFormat="false" ht="15" hidden="false" customHeight="false" outlineLevel="0" collapsed="false">
      <c r="A8" s="2" t="s">
        <v>99</v>
      </c>
      <c r="B8" s="2" t="s">
        <v>100</v>
      </c>
      <c r="C8" s="2" t="s">
        <v>101</v>
      </c>
      <c r="D8" s="2" t="s">
        <v>102</v>
      </c>
      <c r="E8" s="2" t="s">
        <v>103</v>
      </c>
      <c r="F8" s="2" t="s">
        <v>30</v>
      </c>
      <c r="G8" s="2" t="s">
        <v>104</v>
      </c>
      <c r="H8" s="2" t="s">
        <v>105</v>
      </c>
      <c r="I8" s="2" t="s">
        <v>106</v>
      </c>
      <c r="J8" s="2" t="s">
        <v>107</v>
      </c>
      <c r="K8" s="2" t="s">
        <v>108</v>
      </c>
      <c r="L8" s="2" t="s">
        <v>109</v>
      </c>
      <c r="M8" s="2"/>
      <c r="N8" s="2"/>
      <c r="O8" s="2" t="s">
        <v>37</v>
      </c>
      <c r="P8" s="2" t="s">
        <v>38</v>
      </c>
      <c r="Q8" s="2"/>
      <c r="R8" s="3" t="n">
        <v>0.95</v>
      </c>
      <c r="S8" s="3" t="n">
        <v>1.2</v>
      </c>
      <c r="T8" s="3" t="n">
        <v>2</v>
      </c>
      <c r="U8" s="2" t="s">
        <v>110</v>
      </c>
      <c r="V8" s="2" t="s">
        <v>40</v>
      </c>
      <c r="W8" s="2" t="s">
        <v>98</v>
      </c>
      <c r="X8" s="4" t="s">
        <v>42</v>
      </c>
      <c r="Y8" s="2" t="n">
        <v>17429669</v>
      </c>
    </row>
    <row r="9" customFormat="false" ht="15" hidden="false" customHeight="false" outlineLevel="0" collapsed="false">
      <c r="A9" s="2" t="s">
        <v>111</v>
      </c>
      <c r="B9" s="2" t="s">
        <v>112</v>
      </c>
      <c r="C9" s="2" t="s">
        <v>45</v>
      </c>
      <c r="D9" s="2" t="s">
        <v>113</v>
      </c>
      <c r="E9" s="2" t="s">
        <v>47</v>
      </c>
      <c r="F9" s="2" t="s">
        <v>30</v>
      </c>
      <c r="G9" s="2" t="s">
        <v>114</v>
      </c>
      <c r="H9" s="2" t="s">
        <v>115</v>
      </c>
      <c r="I9" s="2" t="s">
        <v>116</v>
      </c>
      <c r="J9" s="2" t="s">
        <v>117</v>
      </c>
      <c r="K9" s="2" t="s">
        <v>118</v>
      </c>
      <c r="L9" s="2" t="s">
        <v>119</v>
      </c>
      <c r="M9" s="2"/>
      <c r="N9" s="2"/>
      <c r="O9" s="2" t="s">
        <v>37</v>
      </c>
      <c r="P9" s="2" t="s">
        <v>38</v>
      </c>
      <c r="Q9" s="2"/>
      <c r="R9" s="3" t="n">
        <v>0.83</v>
      </c>
      <c r="S9" s="3" t="n">
        <v>1.2</v>
      </c>
      <c r="T9" s="3" t="n">
        <v>1.8</v>
      </c>
      <c r="U9" s="2" t="s">
        <v>120</v>
      </c>
      <c r="V9" s="2" t="s">
        <v>40</v>
      </c>
      <c r="W9" s="2" t="s">
        <v>98</v>
      </c>
      <c r="X9" s="4" t="s">
        <v>42</v>
      </c>
      <c r="Y9" s="2" t="n">
        <v>17429663</v>
      </c>
    </row>
    <row r="10" customFormat="false" ht="15" hidden="false" customHeight="false" outlineLevel="0" collapsed="false">
      <c r="A10" s="2" t="s">
        <v>121</v>
      </c>
      <c r="B10" s="2" t="s">
        <v>122</v>
      </c>
      <c r="C10" s="2" t="s">
        <v>45</v>
      </c>
      <c r="D10" s="2" t="s">
        <v>123</v>
      </c>
      <c r="E10" s="2" t="s">
        <v>47</v>
      </c>
      <c r="F10" s="2" t="s">
        <v>30</v>
      </c>
      <c r="G10" s="2" t="s">
        <v>124</v>
      </c>
      <c r="H10" s="2" t="s">
        <v>125</v>
      </c>
      <c r="I10" s="2" t="s">
        <v>126</v>
      </c>
      <c r="J10" s="2" t="s">
        <v>127</v>
      </c>
      <c r="K10" s="2" t="s">
        <v>128</v>
      </c>
      <c r="L10" s="2" t="s">
        <v>129</v>
      </c>
      <c r="M10" s="2"/>
      <c r="N10" s="2"/>
      <c r="O10" s="2" t="s">
        <v>37</v>
      </c>
      <c r="P10" s="2" t="s">
        <v>38</v>
      </c>
      <c r="Q10" s="2"/>
      <c r="R10" s="3" t="n">
        <v>0.88</v>
      </c>
      <c r="S10" s="3" t="n">
        <v>1.2</v>
      </c>
      <c r="T10" s="3" t="n">
        <v>1.9</v>
      </c>
      <c r="U10" s="2" t="s">
        <v>130</v>
      </c>
      <c r="V10" s="2" t="s">
        <v>40</v>
      </c>
      <c r="W10" s="2" t="s">
        <v>98</v>
      </c>
      <c r="X10" s="4" t="s">
        <v>42</v>
      </c>
      <c r="Y10" s="2" t="n">
        <v>17429637</v>
      </c>
    </row>
    <row r="11" customFormat="false" ht="15" hidden="false" customHeight="false" outlineLevel="0" collapsed="false">
      <c r="A11" s="2" t="s">
        <v>131</v>
      </c>
      <c r="B11" s="2" t="s">
        <v>132</v>
      </c>
      <c r="C11" s="2" t="s">
        <v>133</v>
      </c>
      <c r="D11" s="2" t="s">
        <v>134</v>
      </c>
      <c r="E11" s="2" t="s">
        <v>47</v>
      </c>
      <c r="F11" s="2" t="s">
        <v>48</v>
      </c>
      <c r="G11" s="2" t="s">
        <v>135</v>
      </c>
      <c r="H11" s="2" t="s">
        <v>136</v>
      </c>
      <c r="I11" s="2" t="s">
        <v>137</v>
      </c>
      <c r="J11" s="2" t="s">
        <v>138</v>
      </c>
      <c r="K11" s="2" t="s">
        <v>139</v>
      </c>
      <c r="L11" s="2" t="s">
        <v>140</v>
      </c>
      <c r="M11" s="2"/>
      <c r="N11" s="2"/>
      <c r="O11" s="2" t="s">
        <v>37</v>
      </c>
      <c r="P11" s="2" t="s">
        <v>38</v>
      </c>
      <c r="Q11" s="2"/>
      <c r="R11" s="3" t="n">
        <v>0.92</v>
      </c>
      <c r="S11" s="3" t="n">
        <v>1.2</v>
      </c>
      <c r="T11" s="3" t="n">
        <v>2</v>
      </c>
      <c r="U11" s="2" t="s">
        <v>141</v>
      </c>
      <c r="V11" s="2" t="s">
        <v>40</v>
      </c>
      <c r="W11" s="2" t="s">
        <v>98</v>
      </c>
      <c r="X11" s="4" t="s">
        <v>42</v>
      </c>
      <c r="Y11" s="2" t="n">
        <v>17429631</v>
      </c>
    </row>
    <row r="12" customFormat="false" ht="15" hidden="false" customHeight="false" outlineLevel="0" collapsed="false">
      <c r="A12" s="2" t="s">
        <v>142</v>
      </c>
      <c r="B12" s="2" t="s">
        <v>143</v>
      </c>
      <c r="C12" s="2" t="s">
        <v>133</v>
      </c>
      <c r="D12" s="2" t="s">
        <v>144</v>
      </c>
      <c r="E12" s="2" t="s">
        <v>29</v>
      </c>
      <c r="F12" s="2" t="s">
        <v>30</v>
      </c>
      <c r="G12" s="2" t="s">
        <v>145</v>
      </c>
      <c r="H12" s="2" t="s">
        <v>146</v>
      </c>
      <c r="I12" s="2" t="s">
        <v>147</v>
      </c>
      <c r="J12" s="2" t="s">
        <v>148</v>
      </c>
      <c r="K12" s="2" t="s">
        <v>149</v>
      </c>
      <c r="L12" s="2" t="s">
        <v>150</v>
      </c>
      <c r="M12" s="2"/>
      <c r="N12" s="2"/>
      <c r="O12" s="2" t="s">
        <v>37</v>
      </c>
      <c r="P12" s="2" t="s">
        <v>38</v>
      </c>
      <c r="Q12" s="2"/>
      <c r="R12" s="3" t="n">
        <v>0.8</v>
      </c>
      <c r="S12" s="3" t="n">
        <v>1.2</v>
      </c>
      <c r="T12" s="3" t="n">
        <v>1.8</v>
      </c>
      <c r="U12" s="2" t="s">
        <v>151</v>
      </c>
      <c r="V12" s="2" t="s">
        <v>40</v>
      </c>
      <c r="W12" s="2" t="s">
        <v>98</v>
      </c>
      <c r="X12" s="4" t="s">
        <v>42</v>
      </c>
      <c r="Y12" s="2" t="n">
        <v>17429623</v>
      </c>
    </row>
    <row r="13" customFormat="false" ht="15" hidden="false" customHeight="false" outlineLevel="0" collapsed="false">
      <c r="A13" s="2" t="s">
        <v>152</v>
      </c>
      <c r="B13" s="2" t="s">
        <v>153</v>
      </c>
      <c r="C13" s="2" t="s">
        <v>45</v>
      </c>
      <c r="D13" s="2" t="s">
        <v>154</v>
      </c>
      <c r="E13" s="2" t="s">
        <v>90</v>
      </c>
      <c r="F13" s="2" t="s">
        <v>30</v>
      </c>
      <c r="G13" s="2" t="s">
        <v>155</v>
      </c>
      <c r="H13" s="2"/>
      <c r="I13" s="2" t="s">
        <v>156</v>
      </c>
      <c r="J13" s="2" t="s">
        <v>157</v>
      </c>
      <c r="K13" s="2" t="s">
        <v>158</v>
      </c>
      <c r="L13" s="2" t="s">
        <v>159</v>
      </c>
      <c r="M13" s="2"/>
      <c r="N13" s="2"/>
      <c r="O13" s="2" t="s">
        <v>37</v>
      </c>
      <c r="P13" s="2" t="s">
        <v>38</v>
      </c>
      <c r="Q13" s="2"/>
      <c r="R13" s="3" t="n">
        <v>0.96</v>
      </c>
      <c r="S13" s="3" t="n">
        <v>1.2</v>
      </c>
      <c r="T13" s="3" t="n">
        <v>2</v>
      </c>
      <c r="U13" s="2" t="s">
        <v>160</v>
      </c>
      <c r="V13" s="2" t="s">
        <v>40</v>
      </c>
      <c r="W13" s="2" t="s">
        <v>98</v>
      </c>
      <c r="X13" s="4" t="s">
        <v>42</v>
      </c>
      <c r="Y13" s="2" t="n">
        <v>17429603</v>
      </c>
    </row>
    <row r="14" customFormat="false" ht="15" hidden="false" customHeight="false" outlineLevel="0" collapsed="false">
      <c r="A14" s="2" t="s">
        <v>161</v>
      </c>
      <c r="B14" s="2" t="s">
        <v>162</v>
      </c>
      <c r="C14" s="2" t="s">
        <v>163</v>
      </c>
      <c r="D14" s="2" t="s">
        <v>164</v>
      </c>
      <c r="E14" s="2" t="s">
        <v>103</v>
      </c>
      <c r="F14" s="2" t="s">
        <v>165</v>
      </c>
      <c r="G14" s="2" t="s">
        <v>166</v>
      </c>
      <c r="H14" s="2" t="s">
        <v>167</v>
      </c>
      <c r="I14" s="2" t="s">
        <v>168</v>
      </c>
      <c r="J14" s="2" t="s">
        <v>169</v>
      </c>
      <c r="K14" s="2" t="s">
        <v>170</v>
      </c>
      <c r="L14" s="2" t="s">
        <v>171</v>
      </c>
      <c r="M14" s="2"/>
      <c r="N14" s="2"/>
      <c r="O14" s="2" t="s">
        <v>37</v>
      </c>
      <c r="P14" s="2" t="s">
        <v>38</v>
      </c>
      <c r="Q14" s="2"/>
      <c r="R14" s="3" t="n">
        <v>0.92</v>
      </c>
      <c r="S14" s="3" t="n">
        <v>1.2</v>
      </c>
      <c r="T14" s="3" t="n">
        <v>2</v>
      </c>
      <c r="U14" s="2" t="s">
        <v>172</v>
      </c>
      <c r="V14" s="2" t="s">
        <v>40</v>
      </c>
      <c r="W14" s="2" t="s">
        <v>98</v>
      </c>
      <c r="X14" s="4" t="s">
        <v>42</v>
      </c>
      <c r="Y14" s="2" t="n">
        <v>17429573</v>
      </c>
    </row>
    <row r="15" customFormat="false" ht="15" hidden="false" customHeight="false" outlineLevel="0" collapsed="false">
      <c r="A15" s="2" t="s">
        <v>173</v>
      </c>
      <c r="B15" s="2" t="s">
        <v>174</v>
      </c>
      <c r="C15" s="2" t="s">
        <v>175</v>
      </c>
      <c r="D15" s="2" t="s">
        <v>176</v>
      </c>
      <c r="E15" s="2" t="s">
        <v>58</v>
      </c>
      <c r="F15" s="2" t="s">
        <v>48</v>
      </c>
      <c r="G15" s="2" t="s">
        <v>177</v>
      </c>
      <c r="H15" s="2"/>
      <c r="I15" s="2" t="s">
        <v>178</v>
      </c>
      <c r="J15" s="2" t="s">
        <v>179</v>
      </c>
      <c r="K15" s="2" t="s">
        <v>175</v>
      </c>
      <c r="L15" s="2" t="s">
        <v>180</v>
      </c>
      <c r="M15" s="2"/>
      <c r="N15" s="2"/>
      <c r="O15" s="2" t="s">
        <v>37</v>
      </c>
      <c r="P15" s="2" t="s">
        <v>38</v>
      </c>
      <c r="Q15" s="2"/>
      <c r="R15" s="3" t="n">
        <v>1</v>
      </c>
      <c r="S15" s="3" t="n">
        <v>1.2</v>
      </c>
      <c r="T15" s="3" t="n">
        <v>2.1</v>
      </c>
      <c r="U15" s="2" t="s">
        <v>181</v>
      </c>
      <c r="V15" s="2" t="s">
        <v>40</v>
      </c>
      <c r="W15" s="2" t="s">
        <v>98</v>
      </c>
      <c r="X15" s="4" t="s">
        <v>42</v>
      </c>
      <c r="Y15" s="2" t="n">
        <v>17429569</v>
      </c>
    </row>
    <row r="16" customFormat="false" ht="15" hidden="false" customHeight="false" outlineLevel="0" collapsed="false">
      <c r="A16" s="2" t="s">
        <v>182</v>
      </c>
      <c r="B16" s="2" t="s">
        <v>183</v>
      </c>
      <c r="C16" s="2" t="s">
        <v>45</v>
      </c>
      <c r="D16" s="2" t="s">
        <v>184</v>
      </c>
      <c r="E16" s="2" t="s">
        <v>47</v>
      </c>
      <c r="F16" s="2" t="s">
        <v>48</v>
      </c>
      <c r="G16" s="2" t="s">
        <v>185</v>
      </c>
      <c r="H16" s="2"/>
      <c r="I16" s="2" t="s">
        <v>186</v>
      </c>
      <c r="J16" s="2" t="s">
        <v>187</v>
      </c>
      <c r="K16" s="2" t="s">
        <v>45</v>
      </c>
      <c r="L16" s="2" t="s">
        <v>180</v>
      </c>
      <c r="M16" s="2"/>
      <c r="N16" s="2"/>
      <c r="O16" s="2" t="s">
        <v>37</v>
      </c>
      <c r="P16" s="2" t="s">
        <v>38</v>
      </c>
      <c r="Q16" s="2"/>
      <c r="R16" s="3" t="n">
        <v>1</v>
      </c>
      <c r="S16" s="3" t="n">
        <v>1.2</v>
      </c>
      <c r="T16" s="3" t="n">
        <v>2.1</v>
      </c>
      <c r="U16" s="2" t="s">
        <v>188</v>
      </c>
      <c r="V16" s="2" t="s">
        <v>40</v>
      </c>
      <c r="W16" s="2" t="s">
        <v>98</v>
      </c>
      <c r="X16" s="4" t="s">
        <v>42</v>
      </c>
      <c r="Y16" s="2" t="n">
        <v>17429566</v>
      </c>
    </row>
    <row r="17" customFormat="false" ht="15" hidden="false" customHeight="false" outlineLevel="0" collapsed="false">
      <c r="A17" s="2" t="s">
        <v>189</v>
      </c>
      <c r="B17" s="2" t="s">
        <v>190</v>
      </c>
      <c r="C17" s="2" t="s">
        <v>27</v>
      </c>
      <c r="D17" s="2" t="s">
        <v>191</v>
      </c>
      <c r="E17" s="2" t="s">
        <v>47</v>
      </c>
      <c r="F17" s="2" t="s">
        <v>48</v>
      </c>
      <c r="G17" s="2" t="s">
        <v>192</v>
      </c>
      <c r="H17" s="2" t="s">
        <v>193</v>
      </c>
      <c r="I17" s="2" t="s">
        <v>194</v>
      </c>
      <c r="J17" s="2" t="s">
        <v>195</v>
      </c>
      <c r="K17" s="2" t="s">
        <v>196</v>
      </c>
      <c r="L17" s="2" t="s">
        <v>197</v>
      </c>
      <c r="M17" s="2"/>
      <c r="N17" s="2"/>
      <c r="O17" s="2" t="s">
        <v>37</v>
      </c>
      <c r="P17" s="2" t="s">
        <v>38</v>
      </c>
      <c r="Q17" s="2"/>
      <c r="R17" s="3" t="n">
        <v>0.94</v>
      </c>
      <c r="S17" s="3" t="n">
        <v>1.2</v>
      </c>
      <c r="T17" s="3" t="n">
        <v>2</v>
      </c>
      <c r="U17" s="2" t="s">
        <v>198</v>
      </c>
      <c r="V17" s="2" t="s">
        <v>40</v>
      </c>
      <c r="W17" s="2" t="s">
        <v>98</v>
      </c>
      <c r="X17" s="4" t="s">
        <v>42</v>
      </c>
      <c r="Y17" s="2" t="n">
        <v>17429515</v>
      </c>
    </row>
    <row r="18" customFormat="false" ht="15" hidden="false" customHeight="false" outlineLevel="0" collapsed="false">
      <c r="A18" s="2" t="s">
        <v>199</v>
      </c>
      <c r="B18" s="2" t="s">
        <v>200</v>
      </c>
      <c r="C18" s="2" t="s">
        <v>175</v>
      </c>
      <c r="D18" s="2" t="s">
        <v>201</v>
      </c>
      <c r="E18" s="2" t="s">
        <v>47</v>
      </c>
      <c r="F18" s="2" t="s">
        <v>48</v>
      </c>
      <c r="G18" s="2" t="s">
        <v>202</v>
      </c>
      <c r="H18" s="2"/>
      <c r="I18" s="2" t="s">
        <v>203</v>
      </c>
      <c r="J18" s="2" t="s">
        <v>204</v>
      </c>
      <c r="K18" s="2" t="s">
        <v>205</v>
      </c>
      <c r="L18" s="2" t="s">
        <v>206</v>
      </c>
      <c r="M18" s="2"/>
      <c r="N18" s="2"/>
      <c r="O18" s="2" t="s">
        <v>37</v>
      </c>
      <c r="P18" s="2" t="s">
        <v>38</v>
      </c>
      <c r="Q18" s="2"/>
      <c r="R18" s="3" t="n">
        <v>0.9</v>
      </c>
      <c r="S18" s="3" t="n">
        <v>1.2</v>
      </c>
      <c r="T18" s="3" t="n">
        <v>2</v>
      </c>
      <c r="U18" s="2" t="s">
        <v>207</v>
      </c>
      <c r="V18" s="2" t="s">
        <v>40</v>
      </c>
      <c r="W18" s="2" t="s">
        <v>98</v>
      </c>
      <c r="X18" s="4" t="s">
        <v>42</v>
      </c>
      <c r="Y18" s="2" t="n">
        <v>17429514</v>
      </c>
    </row>
    <row r="19" customFormat="false" ht="15" hidden="false" customHeight="false" outlineLevel="0" collapsed="false">
      <c r="A19" s="2" t="s">
        <v>208</v>
      </c>
      <c r="B19" s="2" t="s">
        <v>209</v>
      </c>
      <c r="C19" s="2" t="s">
        <v>45</v>
      </c>
      <c r="D19" s="2" t="s">
        <v>210</v>
      </c>
      <c r="E19" s="2" t="s">
        <v>90</v>
      </c>
      <c r="F19" s="2" t="s">
        <v>48</v>
      </c>
      <c r="G19" s="2" t="s">
        <v>211</v>
      </c>
      <c r="H19" s="2" t="s">
        <v>212</v>
      </c>
      <c r="I19" s="2" t="s">
        <v>213</v>
      </c>
      <c r="J19" s="2" t="s">
        <v>214</v>
      </c>
      <c r="K19" s="2" t="s">
        <v>215</v>
      </c>
      <c r="L19" s="2" t="s">
        <v>216</v>
      </c>
      <c r="M19" s="2"/>
      <c r="N19" s="2"/>
      <c r="O19" s="2" t="s">
        <v>37</v>
      </c>
      <c r="P19" s="2" t="s">
        <v>38</v>
      </c>
      <c r="Q19" s="2"/>
      <c r="R19" s="3" t="n">
        <v>0.97</v>
      </c>
      <c r="S19" s="3" t="n">
        <v>1.2</v>
      </c>
      <c r="T19" s="3" t="n">
        <v>2</v>
      </c>
      <c r="U19" s="2" t="s">
        <v>217</v>
      </c>
      <c r="V19" s="2" t="s">
        <v>40</v>
      </c>
      <c r="W19" s="2" t="s">
        <v>98</v>
      </c>
      <c r="X19" s="4" t="s">
        <v>42</v>
      </c>
      <c r="Y19" s="2" t="n">
        <v>17429511</v>
      </c>
    </row>
    <row r="20" customFormat="false" ht="15" hidden="false" customHeight="false" outlineLevel="0" collapsed="false">
      <c r="A20" s="2" t="s">
        <v>218</v>
      </c>
      <c r="B20" s="2" t="s">
        <v>219</v>
      </c>
      <c r="C20" s="2" t="s">
        <v>220</v>
      </c>
      <c r="D20" s="2" t="s">
        <v>221</v>
      </c>
      <c r="E20" s="2" t="s">
        <v>47</v>
      </c>
      <c r="F20" s="2" t="s">
        <v>30</v>
      </c>
      <c r="G20" s="2" t="s">
        <v>222</v>
      </c>
      <c r="H20" s="2" t="s">
        <v>223</v>
      </c>
      <c r="I20" s="2" t="s">
        <v>224</v>
      </c>
      <c r="J20" s="2" t="s">
        <v>225</v>
      </c>
      <c r="K20" s="2" t="s">
        <v>226</v>
      </c>
      <c r="L20" s="2" t="s">
        <v>227</v>
      </c>
      <c r="M20" s="2"/>
      <c r="N20" s="2"/>
      <c r="O20" s="2" t="s">
        <v>37</v>
      </c>
      <c r="P20" s="2" t="s">
        <v>38</v>
      </c>
      <c r="Q20" s="2"/>
      <c r="R20" s="3" t="n">
        <v>0.87</v>
      </c>
      <c r="S20" s="3" t="n">
        <v>1.2</v>
      </c>
      <c r="T20" s="3" t="n">
        <v>1.9</v>
      </c>
      <c r="U20" s="2" t="s">
        <v>228</v>
      </c>
      <c r="V20" s="2" t="s">
        <v>40</v>
      </c>
      <c r="W20" s="2" t="s">
        <v>98</v>
      </c>
      <c r="X20" s="4" t="s">
        <v>42</v>
      </c>
      <c r="Y20" s="2" t="n">
        <v>17429502</v>
      </c>
    </row>
    <row r="21" customFormat="false" ht="15" hidden="false" customHeight="false" outlineLevel="0" collapsed="false">
      <c r="A21" s="2" t="s">
        <v>229</v>
      </c>
      <c r="B21" s="2" t="s">
        <v>230</v>
      </c>
      <c r="C21" s="2" t="s">
        <v>231</v>
      </c>
      <c r="D21" s="2" t="s">
        <v>232</v>
      </c>
      <c r="E21" s="2" t="s">
        <v>58</v>
      </c>
      <c r="F21" s="2" t="s">
        <v>165</v>
      </c>
      <c r="G21" s="2" t="s">
        <v>233</v>
      </c>
      <c r="H21" s="2" t="s">
        <v>234</v>
      </c>
      <c r="I21" s="2" t="s">
        <v>235</v>
      </c>
      <c r="J21" s="2" t="s">
        <v>236</v>
      </c>
      <c r="K21" s="2" t="s">
        <v>237</v>
      </c>
      <c r="L21" s="2" t="s">
        <v>238</v>
      </c>
      <c r="M21" s="2"/>
      <c r="N21" s="2"/>
      <c r="O21" s="2" t="s">
        <v>37</v>
      </c>
      <c r="P21" s="2" t="s">
        <v>38</v>
      </c>
      <c r="Q21" s="2"/>
      <c r="R21" s="3" t="n">
        <v>0.96</v>
      </c>
      <c r="S21" s="3" t="n">
        <v>1.2</v>
      </c>
      <c r="T21" s="3" t="n">
        <v>2</v>
      </c>
      <c r="U21" s="2" t="s">
        <v>239</v>
      </c>
      <c r="V21" s="2" t="s">
        <v>40</v>
      </c>
      <c r="W21" s="2" t="s">
        <v>98</v>
      </c>
      <c r="X21" s="4" t="s">
        <v>42</v>
      </c>
      <c r="Y21" s="2" t="n">
        <v>17429446</v>
      </c>
    </row>
    <row r="22" customFormat="false" ht="15" hidden="false" customHeight="false" outlineLevel="0" collapsed="false">
      <c r="A22" s="2" t="s">
        <v>240</v>
      </c>
      <c r="B22" s="2" t="s">
        <v>241</v>
      </c>
      <c r="C22" s="2" t="s">
        <v>242</v>
      </c>
      <c r="D22" s="2" t="s">
        <v>243</v>
      </c>
      <c r="E22" s="2" t="s">
        <v>244</v>
      </c>
      <c r="F22" s="2" t="s">
        <v>165</v>
      </c>
      <c r="G22" s="2" t="s">
        <v>245</v>
      </c>
      <c r="H22" s="2" t="s">
        <v>246</v>
      </c>
      <c r="I22" s="2" t="s">
        <v>247</v>
      </c>
      <c r="J22" s="2" t="s">
        <v>248</v>
      </c>
      <c r="K22" s="2" t="s">
        <v>249</v>
      </c>
      <c r="L22" s="2" t="s">
        <v>250</v>
      </c>
      <c r="M22" s="2"/>
      <c r="N22" s="2"/>
      <c r="O22" s="2" t="s">
        <v>37</v>
      </c>
      <c r="P22" s="2" t="s">
        <v>38</v>
      </c>
      <c r="Q22" s="2"/>
      <c r="R22" s="3" t="n">
        <v>0.96</v>
      </c>
      <c r="S22" s="3" t="n">
        <v>1.2</v>
      </c>
      <c r="T22" s="3" t="n">
        <v>2</v>
      </c>
      <c r="U22" s="2" t="s">
        <v>251</v>
      </c>
      <c r="V22" s="2" t="s">
        <v>40</v>
      </c>
      <c r="W22" s="2" t="s">
        <v>98</v>
      </c>
      <c r="X22" s="4" t="s">
        <v>42</v>
      </c>
      <c r="Y22" s="2" t="n">
        <v>17429436</v>
      </c>
    </row>
    <row r="23" customFormat="false" ht="15" hidden="false" customHeight="false" outlineLevel="0" collapsed="false">
      <c r="A23" s="2" t="s">
        <v>252</v>
      </c>
      <c r="B23" s="2" t="s">
        <v>253</v>
      </c>
      <c r="C23" s="2" t="s">
        <v>175</v>
      </c>
      <c r="D23" s="2" t="s">
        <v>254</v>
      </c>
      <c r="E23" s="2" t="s">
        <v>255</v>
      </c>
      <c r="F23" s="2" t="s">
        <v>48</v>
      </c>
      <c r="G23" s="2" t="s">
        <v>256</v>
      </c>
      <c r="H23" s="2" t="s">
        <v>257</v>
      </c>
      <c r="I23" s="2" t="s">
        <v>258</v>
      </c>
      <c r="J23" s="2" t="s">
        <v>259</v>
      </c>
      <c r="K23" s="2" t="s">
        <v>260</v>
      </c>
      <c r="L23" s="2" t="s">
        <v>261</v>
      </c>
      <c r="M23" s="2"/>
      <c r="N23" s="2"/>
      <c r="O23" s="2" t="s">
        <v>37</v>
      </c>
      <c r="P23" s="2" t="s">
        <v>38</v>
      </c>
      <c r="Q23" s="2"/>
      <c r="R23" s="3" t="n">
        <v>0.96</v>
      </c>
      <c r="S23" s="3" t="n">
        <v>1.2</v>
      </c>
      <c r="T23" s="3" t="n">
        <v>2</v>
      </c>
      <c r="U23" s="2" t="s">
        <v>262</v>
      </c>
      <c r="V23" s="2" t="s">
        <v>40</v>
      </c>
      <c r="W23" s="2" t="s">
        <v>98</v>
      </c>
      <c r="X23" s="4" t="s">
        <v>42</v>
      </c>
      <c r="Y23" s="2" t="n">
        <v>17429391</v>
      </c>
    </row>
    <row r="24" customFormat="false" ht="15" hidden="false" customHeight="false" outlineLevel="0" collapsed="false">
      <c r="A24" s="2" t="s">
        <v>263</v>
      </c>
      <c r="B24" s="2" t="s">
        <v>264</v>
      </c>
      <c r="C24" s="2" t="s">
        <v>265</v>
      </c>
      <c r="D24" s="2" t="s">
        <v>266</v>
      </c>
      <c r="E24" s="2" t="s">
        <v>47</v>
      </c>
      <c r="F24" s="2" t="s">
        <v>48</v>
      </c>
      <c r="G24" s="2" t="s">
        <v>267</v>
      </c>
      <c r="H24" s="2" t="s">
        <v>268</v>
      </c>
      <c r="I24" s="2" t="s">
        <v>269</v>
      </c>
      <c r="J24" s="2" t="s">
        <v>270</v>
      </c>
      <c r="K24" s="2" t="s">
        <v>271</v>
      </c>
      <c r="L24" s="2" t="s">
        <v>272</v>
      </c>
      <c r="M24" s="2"/>
      <c r="N24" s="2"/>
      <c r="O24" s="2" t="s">
        <v>37</v>
      </c>
      <c r="P24" s="2" t="s">
        <v>38</v>
      </c>
      <c r="Q24" s="2"/>
      <c r="R24" s="3" t="n">
        <v>0.88</v>
      </c>
      <c r="S24" s="3" t="n">
        <v>1.2</v>
      </c>
      <c r="T24" s="3" t="n">
        <v>1.9</v>
      </c>
      <c r="U24" s="2" t="s">
        <v>273</v>
      </c>
      <c r="V24" s="2" t="s">
        <v>40</v>
      </c>
      <c r="W24" s="2" t="s">
        <v>98</v>
      </c>
      <c r="X24" s="4" t="s">
        <v>42</v>
      </c>
      <c r="Y24" s="2" t="n">
        <v>17429390</v>
      </c>
    </row>
    <row r="25" customFormat="false" ht="15" hidden="false" customHeight="false" outlineLevel="0" collapsed="false">
      <c r="A25" s="2" t="s">
        <v>274</v>
      </c>
      <c r="B25" s="2" t="s">
        <v>275</v>
      </c>
      <c r="C25" s="2" t="s">
        <v>45</v>
      </c>
      <c r="D25" s="2" t="s">
        <v>276</v>
      </c>
      <c r="E25" s="2" t="s">
        <v>47</v>
      </c>
      <c r="F25" s="2" t="s">
        <v>30</v>
      </c>
      <c r="G25" s="2" t="s">
        <v>277</v>
      </c>
      <c r="H25" s="2"/>
      <c r="I25" s="2" t="s">
        <v>278</v>
      </c>
      <c r="J25" s="2" t="s">
        <v>279</v>
      </c>
      <c r="K25" s="2" t="s">
        <v>280</v>
      </c>
      <c r="L25" s="2" t="s">
        <v>281</v>
      </c>
      <c r="M25" s="2"/>
      <c r="N25" s="2"/>
      <c r="O25" s="2" t="s">
        <v>37</v>
      </c>
      <c r="P25" s="2" t="s">
        <v>38</v>
      </c>
      <c r="Q25" s="2"/>
      <c r="R25" s="3" t="n">
        <v>0.82</v>
      </c>
      <c r="S25" s="3" t="n">
        <v>1.2</v>
      </c>
      <c r="T25" s="3" t="n">
        <v>1.8</v>
      </c>
      <c r="U25" s="2" t="s">
        <v>282</v>
      </c>
      <c r="V25" s="2" t="s">
        <v>40</v>
      </c>
      <c r="W25" s="2" t="s">
        <v>98</v>
      </c>
      <c r="X25" s="4" t="s">
        <v>42</v>
      </c>
      <c r="Y25" s="2" t="n">
        <v>17429387</v>
      </c>
    </row>
    <row r="26" customFormat="false" ht="15" hidden="false" customHeight="false" outlineLevel="0" collapsed="false">
      <c r="A26" s="2" t="s">
        <v>283</v>
      </c>
      <c r="B26" s="2" t="s">
        <v>284</v>
      </c>
      <c r="C26" s="2" t="s">
        <v>285</v>
      </c>
      <c r="D26" s="2" t="s">
        <v>286</v>
      </c>
      <c r="E26" s="2" t="s">
        <v>255</v>
      </c>
      <c r="F26" s="2" t="s">
        <v>48</v>
      </c>
      <c r="G26" s="2" t="s">
        <v>287</v>
      </c>
      <c r="H26" s="2" t="s">
        <v>288</v>
      </c>
      <c r="I26" s="2" t="s">
        <v>289</v>
      </c>
      <c r="J26" s="2" t="s">
        <v>290</v>
      </c>
      <c r="K26" s="2" t="s">
        <v>291</v>
      </c>
      <c r="L26" s="2" t="s">
        <v>292</v>
      </c>
      <c r="M26" s="2"/>
      <c r="N26" s="2"/>
      <c r="O26" s="2" t="s">
        <v>37</v>
      </c>
      <c r="P26" s="2" t="s">
        <v>38</v>
      </c>
      <c r="Q26" s="2"/>
      <c r="R26" s="3" t="n">
        <v>1</v>
      </c>
      <c r="S26" s="3" t="n">
        <v>1.2</v>
      </c>
      <c r="T26" s="3" t="n">
        <v>2.1</v>
      </c>
      <c r="U26" s="2" t="s">
        <v>293</v>
      </c>
      <c r="V26" s="2" t="s">
        <v>40</v>
      </c>
      <c r="W26" s="2" t="s">
        <v>98</v>
      </c>
      <c r="X26" s="4" t="s">
        <v>42</v>
      </c>
      <c r="Y26" s="2" t="n">
        <v>17429385</v>
      </c>
    </row>
    <row r="27" customFormat="false" ht="15" hidden="false" customHeight="false" outlineLevel="0" collapsed="false">
      <c r="A27" s="2" t="s">
        <v>294</v>
      </c>
      <c r="B27" s="2" t="s">
        <v>295</v>
      </c>
      <c r="C27" s="2" t="s">
        <v>296</v>
      </c>
      <c r="D27" s="2" t="s">
        <v>297</v>
      </c>
      <c r="E27" s="2" t="s">
        <v>47</v>
      </c>
      <c r="F27" s="2" t="s">
        <v>30</v>
      </c>
      <c r="G27" s="2" t="s">
        <v>298</v>
      </c>
      <c r="H27" s="2" t="s">
        <v>299</v>
      </c>
      <c r="I27" s="2" t="s">
        <v>300</v>
      </c>
      <c r="J27" s="2" t="s">
        <v>301</v>
      </c>
      <c r="K27" s="2" t="s">
        <v>302</v>
      </c>
      <c r="L27" s="2" t="s">
        <v>303</v>
      </c>
      <c r="M27" s="2"/>
      <c r="N27" s="2"/>
      <c r="O27" s="2" t="s">
        <v>37</v>
      </c>
      <c r="P27" s="2" t="s">
        <v>38</v>
      </c>
      <c r="Q27" s="2"/>
      <c r="R27" s="3" t="n">
        <v>0.94</v>
      </c>
      <c r="S27" s="3" t="n">
        <v>1.2</v>
      </c>
      <c r="T27" s="3" t="n">
        <v>2</v>
      </c>
      <c r="U27" s="2" t="s">
        <v>304</v>
      </c>
      <c r="V27" s="2" t="s">
        <v>40</v>
      </c>
      <c r="W27" s="2" t="s">
        <v>98</v>
      </c>
      <c r="X27" s="4" t="s">
        <v>42</v>
      </c>
      <c r="Y27" s="2" t="n">
        <v>17429341</v>
      </c>
    </row>
    <row r="28" customFormat="false" ht="15" hidden="false" customHeight="false" outlineLevel="0" collapsed="false">
      <c r="A28" s="2" t="s">
        <v>305</v>
      </c>
      <c r="B28" s="2" t="s">
        <v>306</v>
      </c>
      <c r="C28" s="2" t="s">
        <v>307</v>
      </c>
      <c r="D28" s="2" t="s">
        <v>308</v>
      </c>
      <c r="E28" s="2" t="s">
        <v>47</v>
      </c>
      <c r="F28" s="2" t="s">
        <v>48</v>
      </c>
      <c r="G28" s="2" t="s">
        <v>309</v>
      </c>
      <c r="H28" s="2" t="s">
        <v>310</v>
      </c>
      <c r="I28" s="2" t="s">
        <v>311</v>
      </c>
      <c r="J28" s="2" t="s">
        <v>312</v>
      </c>
      <c r="K28" s="2" t="s">
        <v>313</v>
      </c>
      <c r="L28" s="2" t="s">
        <v>314</v>
      </c>
      <c r="M28" s="2"/>
      <c r="N28" s="2"/>
      <c r="O28" s="2" t="s">
        <v>37</v>
      </c>
      <c r="P28" s="2" t="s">
        <v>38</v>
      </c>
      <c r="Q28" s="2"/>
      <c r="R28" s="3" t="n">
        <v>0.84</v>
      </c>
      <c r="S28" s="3" t="n">
        <v>1.2</v>
      </c>
      <c r="T28" s="3" t="n">
        <v>1.9</v>
      </c>
      <c r="U28" s="2" t="s">
        <v>315</v>
      </c>
      <c r="V28" s="2" t="s">
        <v>40</v>
      </c>
      <c r="W28" s="2" t="s">
        <v>98</v>
      </c>
      <c r="X28" s="4" t="s">
        <v>42</v>
      </c>
      <c r="Y28" s="2" t="n">
        <v>17429337</v>
      </c>
    </row>
    <row r="29" customFormat="false" ht="15" hidden="false" customHeight="false" outlineLevel="0" collapsed="false">
      <c r="A29" s="2" t="s">
        <v>316</v>
      </c>
      <c r="B29" s="2" t="s">
        <v>317</v>
      </c>
      <c r="C29" s="2" t="s">
        <v>45</v>
      </c>
      <c r="D29" s="2" t="s">
        <v>318</v>
      </c>
      <c r="E29" s="2" t="s">
        <v>47</v>
      </c>
      <c r="F29" s="2" t="s">
        <v>48</v>
      </c>
      <c r="G29" s="2" t="s">
        <v>319</v>
      </c>
      <c r="H29" s="2" t="s">
        <v>320</v>
      </c>
      <c r="I29" s="2" t="s">
        <v>321</v>
      </c>
      <c r="J29" s="2" t="s">
        <v>322</v>
      </c>
      <c r="K29" s="2" t="s">
        <v>323</v>
      </c>
      <c r="L29" s="2" t="s">
        <v>324</v>
      </c>
      <c r="M29" s="2"/>
      <c r="N29" s="2"/>
      <c r="O29" s="2" t="s">
        <v>37</v>
      </c>
      <c r="P29" s="2" t="s">
        <v>38</v>
      </c>
      <c r="Q29" s="2"/>
      <c r="R29" s="3" t="n">
        <v>0.88</v>
      </c>
      <c r="S29" s="3" t="n">
        <v>1.2</v>
      </c>
      <c r="T29" s="3" t="n">
        <v>1.9</v>
      </c>
      <c r="U29" s="2" t="s">
        <v>325</v>
      </c>
      <c r="V29" s="2" t="s">
        <v>40</v>
      </c>
      <c r="W29" s="2" t="s">
        <v>98</v>
      </c>
      <c r="X29" s="4" t="s">
        <v>42</v>
      </c>
      <c r="Y29" s="2" t="n">
        <v>17429332</v>
      </c>
    </row>
    <row r="30" customFormat="false" ht="15" hidden="false" customHeight="false" outlineLevel="0" collapsed="false">
      <c r="A30" s="2" t="s">
        <v>326</v>
      </c>
      <c r="B30" s="2" t="s">
        <v>327</v>
      </c>
      <c r="C30" s="2" t="s">
        <v>328</v>
      </c>
      <c r="D30" s="2" t="s">
        <v>329</v>
      </c>
      <c r="E30" s="2" t="s">
        <v>47</v>
      </c>
      <c r="F30" s="2" t="s">
        <v>48</v>
      </c>
      <c r="G30" s="2" t="s">
        <v>330</v>
      </c>
      <c r="H30" s="2" t="s">
        <v>331</v>
      </c>
      <c r="I30" s="2" t="s">
        <v>332</v>
      </c>
      <c r="J30" s="2" t="s">
        <v>333</v>
      </c>
      <c r="K30" s="2" t="s">
        <v>334</v>
      </c>
      <c r="L30" s="2" t="s">
        <v>335</v>
      </c>
      <c r="M30" s="2"/>
      <c r="N30" s="2"/>
      <c r="O30" s="2" t="s">
        <v>37</v>
      </c>
      <c r="P30" s="2" t="s">
        <v>38</v>
      </c>
      <c r="Q30" s="2"/>
      <c r="R30" s="3" t="n">
        <v>0.96</v>
      </c>
      <c r="S30" s="3" t="n">
        <v>1.2</v>
      </c>
      <c r="T30" s="3" t="n">
        <v>2</v>
      </c>
      <c r="U30" s="2" t="s">
        <v>336</v>
      </c>
      <c r="V30" s="2" t="s">
        <v>40</v>
      </c>
      <c r="W30" s="2" t="s">
        <v>98</v>
      </c>
      <c r="X30" s="4" t="s">
        <v>42</v>
      </c>
      <c r="Y30" s="2" t="n">
        <v>17429329</v>
      </c>
    </row>
    <row r="31" customFormat="false" ht="15" hidden="false" customHeight="false" outlineLevel="0" collapsed="false">
      <c r="A31" s="2" t="s">
        <v>337</v>
      </c>
      <c r="B31" s="2" t="s">
        <v>338</v>
      </c>
      <c r="C31" s="2" t="s">
        <v>339</v>
      </c>
      <c r="D31" s="2" t="s">
        <v>340</v>
      </c>
      <c r="E31" s="2" t="s">
        <v>47</v>
      </c>
      <c r="F31" s="2" t="s">
        <v>30</v>
      </c>
      <c r="G31" s="2" t="s">
        <v>211</v>
      </c>
      <c r="H31" s="2"/>
      <c r="I31" s="2" t="s">
        <v>341</v>
      </c>
      <c r="J31" s="2" t="s">
        <v>342</v>
      </c>
      <c r="K31" s="2" t="s">
        <v>343</v>
      </c>
      <c r="L31" s="2" t="s">
        <v>344</v>
      </c>
      <c r="M31" s="2"/>
      <c r="N31" s="2"/>
      <c r="O31" s="2" t="s">
        <v>37</v>
      </c>
      <c r="P31" s="2" t="s">
        <v>38</v>
      </c>
      <c r="Q31" s="2"/>
      <c r="R31" s="3" t="n">
        <v>0.9</v>
      </c>
      <c r="S31" s="3" t="n">
        <v>1.2</v>
      </c>
      <c r="T31" s="3" t="n">
        <v>2</v>
      </c>
      <c r="U31" s="2" t="s">
        <v>345</v>
      </c>
      <c r="V31" s="2" t="s">
        <v>40</v>
      </c>
      <c r="W31" s="2" t="s">
        <v>98</v>
      </c>
      <c r="X31" s="4" t="s">
        <v>42</v>
      </c>
      <c r="Y31" s="2" t="n">
        <v>17429314</v>
      </c>
    </row>
    <row r="32" customFormat="false" ht="15" hidden="false" customHeight="false" outlineLevel="0" collapsed="false">
      <c r="A32" s="2" t="s">
        <v>346</v>
      </c>
      <c r="B32" s="2" t="s">
        <v>347</v>
      </c>
      <c r="C32" s="2" t="s">
        <v>45</v>
      </c>
      <c r="D32" s="2" t="s">
        <v>348</v>
      </c>
      <c r="E32" s="2" t="s">
        <v>90</v>
      </c>
      <c r="F32" s="2" t="s">
        <v>48</v>
      </c>
      <c r="G32" s="2" t="s">
        <v>349</v>
      </c>
      <c r="H32" s="2" t="s">
        <v>350</v>
      </c>
      <c r="I32" s="2" t="s">
        <v>351</v>
      </c>
      <c r="J32" s="2" t="s">
        <v>352</v>
      </c>
      <c r="K32" s="2" t="s">
        <v>353</v>
      </c>
      <c r="L32" s="2" t="s">
        <v>354</v>
      </c>
      <c r="M32" s="2"/>
      <c r="N32" s="2"/>
      <c r="O32" s="2" t="s">
        <v>37</v>
      </c>
      <c r="P32" s="2" t="s">
        <v>38</v>
      </c>
      <c r="Q32" s="2"/>
      <c r="R32" s="3" t="n">
        <v>1</v>
      </c>
      <c r="S32" s="3" t="n">
        <v>1.2</v>
      </c>
      <c r="T32" s="3" t="n">
        <v>2.1</v>
      </c>
      <c r="U32" s="2" t="s">
        <v>355</v>
      </c>
      <c r="V32" s="2" t="s">
        <v>40</v>
      </c>
      <c r="W32" s="2" t="s">
        <v>98</v>
      </c>
      <c r="X32" s="4" t="s">
        <v>42</v>
      </c>
      <c r="Y32" s="2" t="n">
        <v>17429313</v>
      </c>
    </row>
    <row r="33" customFormat="false" ht="15" hidden="false" customHeight="false" outlineLevel="0" collapsed="false">
      <c r="A33" s="2" t="s">
        <v>356</v>
      </c>
      <c r="B33" s="2" t="s">
        <v>357</v>
      </c>
      <c r="C33" s="2" t="s">
        <v>339</v>
      </c>
      <c r="D33" s="2" t="s">
        <v>358</v>
      </c>
      <c r="E33" s="2" t="s">
        <v>47</v>
      </c>
      <c r="F33" s="2" t="s">
        <v>48</v>
      </c>
      <c r="G33" s="2" t="s">
        <v>59</v>
      </c>
      <c r="H33" s="2" t="s">
        <v>359</v>
      </c>
      <c r="I33" s="2" t="s">
        <v>360</v>
      </c>
      <c r="J33" s="2" t="s">
        <v>361</v>
      </c>
      <c r="K33" s="2" t="s">
        <v>362</v>
      </c>
      <c r="L33" s="2" t="s">
        <v>363</v>
      </c>
      <c r="M33" s="2"/>
      <c r="N33" s="2"/>
      <c r="O33" s="2" t="s">
        <v>37</v>
      </c>
      <c r="P33" s="2" t="s">
        <v>38</v>
      </c>
      <c r="Q33" s="2"/>
      <c r="R33" s="3" t="n">
        <v>0.96</v>
      </c>
      <c r="S33" s="3" t="n">
        <v>1.2</v>
      </c>
      <c r="T33" s="3" t="n">
        <v>2</v>
      </c>
      <c r="U33" s="2" t="s">
        <v>364</v>
      </c>
      <c r="V33" s="2" t="s">
        <v>40</v>
      </c>
      <c r="W33" s="2" t="s">
        <v>98</v>
      </c>
      <c r="X33" s="4" t="s">
        <v>42</v>
      </c>
      <c r="Y33" s="2" t="n">
        <v>17429306</v>
      </c>
    </row>
    <row r="34" customFormat="false" ht="15" hidden="false" customHeight="false" outlineLevel="0" collapsed="false">
      <c r="A34" s="2" t="s">
        <v>365</v>
      </c>
      <c r="B34" s="2" t="s">
        <v>366</v>
      </c>
      <c r="C34" s="2" t="s">
        <v>367</v>
      </c>
      <c r="D34" s="2" t="s">
        <v>368</v>
      </c>
      <c r="E34" s="2" t="s">
        <v>47</v>
      </c>
      <c r="F34" s="2" t="s">
        <v>30</v>
      </c>
      <c r="G34" s="2" t="s">
        <v>369</v>
      </c>
      <c r="H34" s="2" t="s">
        <v>370</v>
      </c>
      <c r="I34" s="2" t="s">
        <v>371</v>
      </c>
      <c r="J34" s="2" t="s">
        <v>372</v>
      </c>
      <c r="K34" s="2" t="s">
        <v>373</v>
      </c>
      <c r="L34" s="2" t="s">
        <v>374</v>
      </c>
      <c r="M34" s="2"/>
      <c r="N34" s="2"/>
      <c r="O34" s="2" t="s">
        <v>37</v>
      </c>
      <c r="P34" s="2" t="s">
        <v>38</v>
      </c>
      <c r="Q34" s="2"/>
      <c r="R34" s="3" t="n">
        <v>0.84</v>
      </c>
      <c r="S34" s="3" t="n">
        <v>1.2</v>
      </c>
      <c r="T34" s="3" t="n">
        <v>1.9</v>
      </c>
      <c r="U34" s="2" t="s">
        <v>375</v>
      </c>
      <c r="V34" s="2" t="s">
        <v>40</v>
      </c>
      <c r="W34" s="2" t="s">
        <v>98</v>
      </c>
      <c r="X34" s="4" t="s">
        <v>42</v>
      </c>
      <c r="Y34" s="2" t="n">
        <v>17429301</v>
      </c>
    </row>
    <row r="35" customFormat="false" ht="15" hidden="false" customHeight="false" outlineLevel="0" collapsed="false">
      <c r="A35" s="2" t="s">
        <v>376</v>
      </c>
      <c r="B35" s="2" t="s">
        <v>377</v>
      </c>
      <c r="C35" s="2" t="s">
        <v>378</v>
      </c>
      <c r="D35" s="2" t="s">
        <v>379</v>
      </c>
      <c r="E35" s="2" t="s">
        <v>47</v>
      </c>
      <c r="F35" s="2" t="s">
        <v>30</v>
      </c>
      <c r="G35" s="2" t="s">
        <v>380</v>
      </c>
      <c r="H35" s="2" t="s">
        <v>381</v>
      </c>
      <c r="I35" s="2" t="s">
        <v>382</v>
      </c>
      <c r="J35" s="2" t="s">
        <v>383</v>
      </c>
      <c r="K35" s="2" t="s">
        <v>384</v>
      </c>
      <c r="L35" s="2" t="s">
        <v>324</v>
      </c>
      <c r="M35" s="2"/>
      <c r="N35" s="2"/>
      <c r="O35" s="2" t="s">
        <v>37</v>
      </c>
      <c r="P35" s="2" t="s">
        <v>38</v>
      </c>
      <c r="Q35" s="2"/>
      <c r="R35" s="3" t="n">
        <v>0.87</v>
      </c>
      <c r="S35" s="3" t="n">
        <v>1.2</v>
      </c>
      <c r="T35" s="3" t="n">
        <v>1.9</v>
      </c>
      <c r="U35" s="2" t="s">
        <v>385</v>
      </c>
      <c r="V35" s="2" t="s">
        <v>40</v>
      </c>
      <c r="W35" s="2" t="s">
        <v>98</v>
      </c>
      <c r="X35" s="4" t="s">
        <v>42</v>
      </c>
      <c r="Y35" s="2" t="n">
        <v>17429296</v>
      </c>
    </row>
    <row r="36" customFormat="false" ht="15" hidden="false" customHeight="false" outlineLevel="0" collapsed="false">
      <c r="A36" s="2" t="s">
        <v>386</v>
      </c>
      <c r="B36" s="2" t="s">
        <v>387</v>
      </c>
      <c r="C36" s="2" t="s">
        <v>27</v>
      </c>
      <c r="D36" s="2" t="s">
        <v>388</v>
      </c>
      <c r="E36" s="2" t="s">
        <v>47</v>
      </c>
      <c r="F36" s="2" t="s">
        <v>30</v>
      </c>
      <c r="G36" s="2" t="s">
        <v>389</v>
      </c>
      <c r="H36" s="2" t="s">
        <v>390</v>
      </c>
      <c r="I36" s="2" t="s">
        <v>391</v>
      </c>
      <c r="J36" s="2" t="s">
        <v>392</v>
      </c>
      <c r="K36" s="2" t="s">
        <v>393</v>
      </c>
      <c r="L36" s="2" t="s">
        <v>394</v>
      </c>
      <c r="M36" s="2"/>
      <c r="N36" s="2"/>
      <c r="O36" s="2" t="s">
        <v>37</v>
      </c>
      <c r="P36" s="2" t="s">
        <v>38</v>
      </c>
      <c r="Q36" s="2"/>
      <c r="R36" s="3" t="n">
        <v>0.95</v>
      </c>
      <c r="S36" s="3" t="n">
        <v>1.2</v>
      </c>
      <c r="T36" s="3" t="n">
        <v>2</v>
      </c>
      <c r="U36" s="2" t="s">
        <v>395</v>
      </c>
      <c r="V36" s="2" t="s">
        <v>40</v>
      </c>
      <c r="W36" s="2" t="s">
        <v>98</v>
      </c>
      <c r="X36" s="4" t="s">
        <v>42</v>
      </c>
      <c r="Y36" s="2" t="n">
        <v>17429281</v>
      </c>
    </row>
    <row r="37" customFormat="false" ht="15" hidden="false" customHeight="false" outlineLevel="0" collapsed="false">
      <c r="A37" s="2" t="s">
        <v>396</v>
      </c>
      <c r="B37" s="2" t="s">
        <v>397</v>
      </c>
      <c r="C37" s="2" t="s">
        <v>27</v>
      </c>
      <c r="D37" s="2" t="s">
        <v>398</v>
      </c>
      <c r="E37" s="2" t="s">
        <v>103</v>
      </c>
      <c r="F37" s="2" t="s">
        <v>30</v>
      </c>
      <c r="G37" s="2" t="s">
        <v>399</v>
      </c>
      <c r="H37" s="2" t="s">
        <v>400</v>
      </c>
      <c r="I37" s="2" t="s">
        <v>401</v>
      </c>
      <c r="J37" s="2" t="s">
        <v>402</v>
      </c>
      <c r="K37" s="2" t="s">
        <v>403</v>
      </c>
      <c r="L37" s="2" t="s">
        <v>404</v>
      </c>
      <c r="M37" s="2"/>
      <c r="N37" s="2"/>
      <c r="O37" s="2" t="s">
        <v>37</v>
      </c>
      <c r="P37" s="2" t="s">
        <v>38</v>
      </c>
      <c r="Q37" s="2"/>
      <c r="R37" s="3" t="n">
        <v>0.96</v>
      </c>
      <c r="S37" s="3" t="n">
        <v>1.2</v>
      </c>
      <c r="T37" s="3" t="n">
        <v>2</v>
      </c>
      <c r="U37" s="2" t="s">
        <v>405</v>
      </c>
      <c r="V37" s="2" t="s">
        <v>40</v>
      </c>
      <c r="W37" s="2" t="s">
        <v>98</v>
      </c>
      <c r="X37" s="4" t="s">
        <v>42</v>
      </c>
      <c r="Y37" s="2" t="n">
        <v>17429276</v>
      </c>
    </row>
    <row r="38" customFormat="false" ht="15" hidden="false" customHeight="false" outlineLevel="0" collapsed="false">
      <c r="A38" s="2" t="s">
        <v>406</v>
      </c>
      <c r="B38" s="2" t="s">
        <v>407</v>
      </c>
      <c r="C38" s="2" t="s">
        <v>220</v>
      </c>
      <c r="D38" s="2" t="s">
        <v>408</v>
      </c>
      <c r="E38" s="2" t="s">
        <v>47</v>
      </c>
      <c r="F38" s="2" t="s">
        <v>48</v>
      </c>
      <c r="G38" s="2" t="s">
        <v>287</v>
      </c>
      <c r="H38" s="2"/>
      <c r="I38" s="2" t="s">
        <v>409</v>
      </c>
      <c r="J38" s="2" t="s">
        <v>410</v>
      </c>
      <c r="K38" s="2" t="s">
        <v>411</v>
      </c>
      <c r="L38" s="2" t="s">
        <v>412</v>
      </c>
      <c r="M38" s="2"/>
      <c r="N38" s="2"/>
      <c r="O38" s="2" t="s">
        <v>37</v>
      </c>
      <c r="P38" s="2" t="s">
        <v>38</v>
      </c>
      <c r="Q38" s="2"/>
      <c r="R38" s="3" t="n">
        <v>0.96</v>
      </c>
      <c r="S38" s="3" t="n">
        <v>1.2</v>
      </c>
      <c r="T38" s="3" t="n">
        <v>2</v>
      </c>
      <c r="U38" s="2" t="s">
        <v>413</v>
      </c>
      <c r="V38" s="2" t="s">
        <v>40</v>
      </c>
      <c r="W38" s="2" t="s">
        <v>98</v>
      </c>
      <c r="X38" s="4" t="s">
        <v>42</v>
      </c>
      <c r="Y38" s="2" t="n">
        <v>17429264</v>
      </c>
    </row>
    <row r="39" customFormat="false" ht="15" hidden="false" customHeight="false" outlineLevel="0" collapsed="false">
      <c r="A39" s="2" t="s">
        <v>274</v>
      </c>
      <c r="B39" s="2" t="s">
        <v>414</v>
      </c>
      <c r="C39" s="2" t="s">
        <v>296</v>
      </c>
      <c r="D39" s="2" t="s">
        <v>415</v>
      </c>
      <c r="E39" s="2" t="s">
        <v>255</v>
      </c>
      <c r="F39" s="2" t="s">
        <v>30</v>
      </c>
      <c r="G39" s="2" t="s">
        <v>416</v>
      </c>
      <c r="H39" s="2" t="s">
        <v>417</v>
      </c>
      <c r="I39" s="2" t="s">
        <v>418</v>
      </c>
      <c r="J39" s="2" t="s">
        <v>419</v>
      </c>
      <c r="K39" s="2" t="s">
        <v>420</v>
      </c>
      <c r="L39" s="2" t="s">
        <v>421</v>
      </c>
      <c r="M39" s="2"/>
      <c r="N39" s="2"/>
      <c r="O39" s="2" t="s">
        <v>37</v>
      </c>
      <c r="P39" s="2" t="s">
        <v>38</v>
      </c>
      <c r="Q39" s="2"/>
      <c r="R39" s="3" t="n">
        <v>1</v>
      </c>
      <c r="S39" s="3" t="n">
        <v>1.2</v>
      </c>
      <c r="T39" s="3" t="n">
        <v>2.1</v>
      </c>
      <c r="U39" s="2" t="s">
        <v>422</v>
      </c>
      <c r="V39" s="2" t="s">
        <v>40</v>
      </c>
      <c r="W39" s="2" t="s">
        <v>98</v>
      </c>
      <c r="X39" s="4" t="s">
        <v>42</v>
      </c>
      <c r="Y39" s="2" t="n">
        <v>17429259</v>
      </c>
    </row>
    <row r="40" customFormat="false" ht="15" hidden="false" customHeight="false" outlineLevel="0" collapsed="false">
      <c r="A40" s="2" t="s">
        <v>423</v>
      </c>
      <c r="B40" s="2" t="s">
        <v>424</v>
      </c>
      <c r="C40" s="2" t="s">
        <v>425</v>
      </c>
      <c r="D40" s="2" t="s">
        <v>426</v>
      </c>
      <c r="E40" s="2" t="s">
        <v>47</v>
      </c>
      <c r="F40" s="2" t="s">
        <v>48</v>
      </c>
      <c r="G40" s="2" t="s">
        <v>427</v>
      </c>
      <c r="H40" s="2" t="s">
        <v>428</v>
      </c>
      <c r="I40" s="2" t="s">
        <v>429</v>
      </c>
      <c r="J40" s="2" t="s">
        <v>430</v>
      </c>
      <c r="K40" s="2" t="s">
        <v>431</v>
      </c>
      <c r="L40" s="2" t="s">
        <v>432</v>
      </c>
      <c r="M40" s="2"/>
      <c r="N40" s="2"/>
      <c r="O40" s="2" t="s">
        <v>37</v>
      </c>
      <c r="P40" s="2" t="s">
        <v>38</v>
      </c>
      <c r="Q40" s="2"/>
      <c r="R40" s="3" t="n">
        <v>0.9</v>
      </c>
      <c r="S40" s="3" t="n">
        <v>1.2</v>
      </c>
      <c r="T40" s="3" t="n">
        <v>2</v>
      </c>
      <c r="U40" s="2" t="s">
        <v>433</v>
      </c>
      <c r="V40" s="2" t="s">
        <v>40</v>
      </c>
      <c r="W40" s="2" t="s">
        <v>98</v>
      </c>
      <c r="X40" s="4" t="s">
        <v>42</v>
      </c>
      <c r="Y40" s="2" t="n">
        <v>17429255</v>
      </c>
    </row>
    <row r="41" customFormat="false" ht="15" hidden="false" customHeight="false" outlineLevel="0" collapsed="false">
      <c r="A41" s="2" t="s">
        <v>434</v>
      </c>
      <c r="B41" s="2" t="s">
        <v>435</v>
      </c>
      <c r="C41" s="2" t="s">
        <v>101</v>
      </c>
      <c r="D41" s="2" t="s">
        <v>436</v>
      </c>
      <c r="E41" s="2" t="s">
        <v>47</v>
      </c>
      <c r="F41" s="2" t="s">
        <v>30</v>
      </c>
      <c r="G41" s="2" t="s">
        <v>437</v>
      </c>
      <c r="H41" s="2" t="s">
        <v>438</v>
      </c>
      <c r="I41" s="2" t="s">
        <v>439</v>
      </c>
      <c r="J41" s="2" t="s">
        <v>440</v>
      </c>
      <c r="K41" s="2" t="s">
        <v>441</v>
      </c>
      <c r="L41" s="2" t="s">
        <v>442</v>
      </c>
      <c r="M41" s="2"/>
      <c r="N41" s="2"/>
      <c r="O41" s="2" t="s">
        <v>37</v>
      </c>
      <c r="P41" s="2" t="s">
        <v>38</v>
      </c>
      <c r="Q41" s="2"/>
      <c r="R41" s="3" t="n">
        <v>0.96</v>
      </c>
      <c r="S41" s="3" t="n">
        <v>1.2</v>
      </c>
      <c r="T41" s="3" t="n">
        <v>2</v>
      </c>
      <c r="U41" s="2" t="s">
        <v>443</v>
      </c>
      <c r="V41" s="2" t="s">
        <v>40</v>
      </c>
      <c r="W41" s="2" t="s">
        <v>98</v>
      </c>
      <c r="X41" s="4" t="s">
        <v>42</v>
      </c>
      <c r="Y41" s="2" t="n">
        <v>17429254</v>
      </c>
    </row>
    <row r="42" customFormat="false" ht="15" hidden="false" customHeight="false" outlineLevel="0" collapsed="false">
      <c r="A42" s="2" t="s">
        <v>444</v>
      </c>
      <c r="B42" s="2" t="s">
        <v>445</v>
      </c>
      <c r="C42" s="2" t="s">
        <v>446</v>
      </c>
      <c r="D42" s="2" t="s">
        <v>447</v>
      </c>
      <c r="E42" s="2" t="s">
        <v>47</v>
      </c>
      <c r="F42" s="2" t="s">
        <v>48</v>
      </c>
      <c r="G42" s="2" t="s">
        <v>448</v>
      </c>
      <c r="H42" s="2" t="s">
        <v>449</v>
      </c>
      <c r="I42" s="2" t="s">
        <v>450</v>
      </c>
      <c r="J42" s="2" t="s">
        <v>451</v>
      </c>
      <c r="K42" s="2" t="s">
        <v>452</v>
      </c>
      <c r="L42" s="2" t="s">
        <v>453</v>
      </c>
      <c r="M42" s="2"/>
      <c r="N42" s="2"/>
      <c r="O42" s="2" t="s">
        <v>37</v>
      </c>
      <c r="P42" s="2" t="s">
        <v>38</v>
      </c>
      <c r="Q42" s="2"/>
      <c r="R42" s="3" t="n">
        <v>0.92</v>
      </c>
      <c r="S42" s="3" t="n">
        <v>1.2</v>
      </c>
      <c r="T42" s="3" t="n">
        <v>2</v>
      </c>
      <c r="U42" s="2" t="s">
        <v>454</v>
      </c>
      <c r="V42" s="2" t="s">
        <v>40</v>
      </c>
      <c r="W42" s="2" t="s">
        <v>98</v>
      </c>
      <c r="X42" s="4" t="s">
        <v>42</v>
      </c>
      <c r="Y42" s="2" t="n">
        <v>17429250</v>
      </c>
    </row>
    <row r="43" customFormat="false" ht="15" hidden="false" customHeight="false" outlineLevel="0" collapsed="false">
      <c r="A43" s="2" t="s">
        <v>455</v>
      </c>
      <c r="B43" s="2" t="s">
        <v>456</v>
      </c>
      <c r="C43" s="2" t="s">
        <v>457</v>
      </c>
      <c r="D43" s="2" t="s">
        <v>458</v>
      </c>
      <c r="E43" s="2" t="s">
        <v>90</v>
      </c>
      <c r="F43" s="2" t="s">
        <v>30</v>
      </c>
      <c r="G43" s="2" t="s">
        <v>459</v>
      </c>
      <c r="H43" s="2"/>
      <c r="I43" s="2" t="s">
        <v>460</v>
      </c>
      <c r="J43" s="2" t="s">
        <v>461</v>
      </c>
      <c r="K43" s="2" t="s">
        <v>462</v>
      </c>
      <c r="L43" s="2" t="s">
        <v>463</v>
      </c>
      <c r="M43" s="2"/>
      <c r="N43" s="2"/>
      <c r="O43" s="2" t="s">
        <v>37</v>
      </c>
      <c r="P43" s="2" t="s">
        <v>38</v>
      </c>
      <c r="Q43" s="2"/>
      <c r="R43" s="3" t="n">
        <v>1</v>
      </c>
      <c r="S43" s="3" t="n">
        <v>1.2</v>
      </c>
      <c r="T43" s="3" t="n">
        <v>2.1</v>
      </c>
      <c r="U43" s="2" t="s">
        <v>464</v>
      </c>
      <c r="V43" s="2" t="s">
        <v>40</v>
      </c>
      <c r="W43" s="2" t="s">
        <v>98</v>
      </c>
      <c r="X43" s="4" t="s">
        <v>42</v>
      </c>
      <c r="Y43" s="2" t="n">
        <v>17429236</v>
      </c>
    </row>
    <row r="44" customFormat="false" ht="15" hidden="false" customHeight="false" outlineLevel="0" collapsed="false">
      <c r="A44" s="2" t="s">
        <v>465</v>
      </c>
      <c r="B44" s="2" t="s">
        <v>466</v>
      </c>
      <c r="C44" s="2" t="s">
        <v>27</v>
      </c>
      <c r="D44" s="2" t="s">
        <v>467</v>
      </c>
      <c r="E44" s="2" t="s">
        <v>103</v>
      </c>
      <c r="F44" s="2" t="s">
        <v>30</v>
      </c>
      <c r="G44" s="2" t="s">
        <v>79</v>
      </c>
      <c r="H44" s="2" t="s">
        <v>468</v>
      </c>
      <c r="I44" s="2" t="s">
        <v>469</v>
      </c>
      <c r="J44" s="2" t="s">
        <v>470</v>
      </c>
      <c r="K44" s="2" t="s">
        <v>471</v>
      </c>
      <c r="L44" s="2" t="s">
        <v>472</v>
      </c>
      <c r="M44" s="2"/>
      <c r="N44" s="2"/>
      <c r="O44" s="2" t="s">
        <v>37</v>
      </c>
      <c r="P44" s="2" t="s">
        <v>38</v>
      </c>
      <c r="Q44" s="2"/>
      <c r="R44" s="3" t="n">
        <v>1</v>
      </c>
      <c r="S44" s="3" t="n">
        <v>1.2</v>
      </c>
      <c r="T44" s="3" t="n">
        <v>2.1</v>
      </c>
      <c r="U44" s="2" t="s">
        <v>473</v>
      </c>
      <c r="V44" s="2" t="s">
        <v>40</v>
      </c>
      <c r="W44" s="2" t="s">
        <v>98</v>
      </c>
      <c r="X44" s="4" t="s">
        <v>42</v>
      </c>
      <c r="Y44" s="2" t="n">
        <v>17429234</v>
      </c>
    </row>
    <row r="45" customFormat="false" ht="15" hidden="false" customHeight="false" outlineLevel="0" collapsed="false">
      <c r="A45" s="2" t="s">
        <v>474</v>
      </c>
      <c r="B45" s="2" t="s">
        <v>475</v>
      </c>
      <c r="C45" s="2" t="s">
        <v>45</v>
      </c>
      <c r="D45" s="2" t="s">
        <v>476</v>
      </c>
      <c r="E45" s="2" t="s">
        <v>47</v>
      </c>
      <c r="F45" s="2" t="s">
        <v>30</v>
      </c>
      <c r="G45" s="2" t="s">
        <v>59</v>
      </c>
      <c r="H45" s="2" t="s">
        <v>477</v>
      </c>
      <c r="I45" s="2" t="s">
        <v>478</v>
      </c>
      <c r="J45" s="2" t="s">
        <v>479</v>
      </c>
      <c r="K45" s="2" t="s">
        <v>480</v>
      </c>
      <c r="L45" s="2" t="s">
        <v>481</v>
      </c>
      <c r="M45" s="2"/>
      <c r="N45" s="2"/>
      <c r="O45" s="2" t="s">
        <v>37</v>
      </c>
      <c r="P45" s="2" t="s">
        <v>38</v>
      </c>
      <c r="Q45" s="2"/>
      <c r="R45" s="3" t="n">
        <v>0.9</v>
      </c>
      <c r="S45" s="3" t="n">
        <v>1.2</v>
      </c>
      <c r="T45" s="3" t="n">
        <v>2</v>
      </c>
      <c r="U45" s="2" t="s">
        <v>482</v>
      </c>
      <c r="V45" s="2" t="s">
        <v>40</v>
      </c>
      <c r="W45" s="2" t="s">
        <v>98</v>
      </c>
      <c r="X45" s="4" t="s">
        <v>42</v>
      </c>
      <c r="Y45" s="2" t="n">
        <v>17429223</v>
      </c>
    </row>
    <row r="46" customFormat="false" ht="15" hidden="false" customHeight="false" outlineLevel="0" collapsed="false">
      <c r="A46" s="2" t="s">
        <v>483</v>
      </c>
      <c r="B46" s="2" t="s">
        <v>484</v>
      </c>
      <c r="C46" s="2" t="s">
        <v>101</v>
      </c>
      <c r="D46" s="2" t="s">
        <v>485</v>
      </c>
      <c r="E46" s="2" t="s">
        <v>29</v>
      </c>
      <c r="F46" s="2" t="s">
        <v>48</v>
      </c>
      <c r="G46" s="2" t="s">
        <v>437</v>
      </c>
      <c r="H46" s="2" t="s">
        <v>486</v>
      </c>
      <c r="I46" s="2" t="s">
        <v>487</v>
      </c>
      <c r="J46" s="2" t="s">
        <v>488</v>
      </c>
      <c r="K46" s="2" t="s">
        <v>489</v>
      </c>
      <c r="L46" s="2" t="s">
        <v>490</v>
      </c>
      <c r="M46" s="2"/>
      <c r="N46" s="2"/>
      <c r="O46" s="2" t="s">
        <v>37</v>
      </c>
      <c r="P46" s="2" t="s">
        <v>38</v>
      </c>
      <c r="Q46" s="2"/>
      <c r="R46" s="3" t="n">
        <v>0.8</v>
      </c>
      <c r="S46" s="3" t="n">
        <v>1.2</v>
      </c>
      <c r="T46" s="3" t="n">
        <v>1.8</v>
      </c>
      <c r="U46" s="2" t="s">
        <v>491</v>
      </c>
      <c r="V46" s="2" t="s">
        <v>40</v>
      </c>
      <c r="W46" s="2" t="s">
        <v>98</v>
      </c>
      <c r="X46" s="4" t="s">
        <v>42</v>
      </c>
      <c r="Y46" s="2" t="n">
        <v>17429207</v>
      </c>
    </row>
    <row r="47" customFormat="false" ht="15" hidden="false" customHeight="false" outlineLevel="0" collapsed="false">
      <c r="A47" s="2" t="s">
        <v>492</v>
      </c>
      <c r="B47" s="2" t="s">
        <v>493</v>
      </c>
      <c r="C47" s="2" t="s">
        <v>494</v>
      </c>
      <c r="D47" s="2" t="s">
        <v>495</v>
      </c>
      <c r="E47" s="2" t="s">
        <v>47</v>
      </c>
      <c r="F47" s="2" t="s">
        <v>30</v>
      </c>
      <c r="G47" s="2" t="s">
        <v>437</v>
      </c>
      <c r="H47" s="2" t="s">
        <v>496</v>
      </c>
      <c r="I47" s="2" t="s">
        <v>497</v>
      </c>
      <c r="J47" s="2" t="s">
        <v>498</v>
      </c>
      <c r="K47" s="2" t="s">
        <v>499</v>
      </c>
      <c r="L47" s="2" t="s">
        <v>500</v>
      </c>
      <c r="M47" s="2"/>
      <c r="N47" s="2"/>
      <c r="O47" s="2" t="s">
        <v>37</v>
      </c>
      <c r="P47" s="2" t="s">
        <v>38</v>
      </c>
      <c r="Q47" s="2"/>
      <c r="R47" s="3" t="n">
        <v>0.98</v>
      </c>
      <c r="S47" s="3" t="n">
        <v>1.2</v>
      </c>
      <c r="T47" s="3" t="n">
        <v>2.1</v>
      </c>
      <c r="U47" s="2" t="s">
        <v>501</v>
      </c>
      <c r="V47" s="2" t="s">
        <v>40</v>
      </c>
      <c r="W47" s="2" t="s">
        <v>98</v>
      </c>
      <c r="X47" s="4" t="s">
        <v>42</v>
      </c>
      <c r="Y47" s="2" t="n">
        <v>17429195</v>
      </c>
    </row>
    <row r="48" customFormat="false" ht="15" hidden="false" customHeight="false" outlineLevel="0" collapsed="false">
      <c r="A48" s="2" t="s">
        <v>502</v>
      </c>
      <c r="B48" s="2" t="s">
        <v>503</v>
      </c>
      <c r="C48" s="2" t="s">
        <v>133</v>
      </c>
      <c r="D48" s="2" t="s">
        <v>504</v>
      </c>
      <c r="E48" s="2" t="s">
        <v>90</v>
      </c>
      <c r="F48" s="2" t="s">
        <v>30</v>
      </c>
      <c r="G48" s="2" t="s">
        <v>505</v>
      </c>
      <c r="H48" s="2" t="s">
        <v>506</v>
      </c>
      <c r="I48" s="2" t="s">
        <v>507</v>
      </c>
      <c r="J48" s="2" t="s">
        <v>508</v>
      </c>
      <c r="K48" s="2" t="s">
        <v>509</v>
      </c>
      <c r="L48" s="2" t="s">
        <v>510</v>
      </c>
      <c r="M48" s="2"/>
      <c r="N48" s="2"/>
      <c r="O48" s="2" t="s">
        <v>37</v>
      </c>
      <c r="P48" s="2" t="s">
        <v>38</v>
      </c>
      <c r="Q48" s="2"/>
      <c r="R48" s="3" t="n">
        <v>0.98</v>
      </c>
      <c r="S48" s="3" t="n">
        <v>1.2</v>
      </c>
      <c r="T48" s="3" t="n">
        <v>2.1</v>
      </c>
      <c r="U48" s="2" t="s">
        <v>511</v>
      </c>
      <c r="V48" s="2" t="s">
        <v>40</v>
      </c>
      <c r="W48" s="2" t="s">
        <v>98</v>
      </c>
      <c r="X48" s="4" t="s">
        <v>42</v>
      </c>
      <c r="Y48" s="2" t="n">
        <v>17429189</v>
      </c>
    </row>
    <row r="49" customFormat="false" ht="15" hidden="false" customHeight="false" outlineLevel="0" collapsed="false">
      <c r="A49" s="2" t="s">
        <v>512</v>
      </c>
      <c r="B49" s="2" t="s">
        <v>513</v>
      </c>
      <c r="C49" s="2" t="s">
        <v>514</v>
      </c>
      <c r="D49" s="2" t="s">
        <v>515</v>
      </c>
      <c r="E49" s="2" t="s">
        <v>47</v>
      </c>
      <c r="F49" s="2" t="s">
        <v>48</v>
      </c>
      <c r="G49" s="2" t="s">
        <v>516</v>
      </c>
      <c r="H49" s="2" t="s">
        <v>517</v>
      </c>
      <c r="I49" s="2" t="s">
        <v>518</v>
      </c>
      <c r="J49" s="2" t="s">
        <v>519</v>
      </c>
      <c r="K49" s="2" t="s">
        <v>520</v>
      </c>
      <c r="L49" s="2" t="s">
        <v>521</v>
      </c>
      <c r="M49" s="2"/>
      <c r="N49" s="2"/>
      <c r="O49" s="2" t="s">
        <v>37</v>
      </c>
      <c r="P49" s="2" t="s">
        <v>38</v>
      </c>
      <c r="Q49" s="2"/>
      <c r="R49" s="3" t="n">
        <v>1</v>
      </c>
      <c r="S49" s="3" t="n">
        <v>1.2</v>
      </c>
      <c r="T49" s="3" t="n">
        <v>2.1</v>
      </c>
      <c r="U49" s="2" t="s">
        <v>522</v>
      </c>
      <c r="V49" s="2" t="s">
        <v>40</v>
      </c>
      <c r="W49" s="2" t="s">
        <v>98</v>
      </c>
      <c r="X49" s="4" t="s">
        <v>42</v>
      </c>
      <c r="Y49" s="2" t="n">
        <v>17429187</v>
      </c>
    </row>
    <row r="50" customFormat="false" ht="15" hidden="false" customHeight="false" outlineLevel="0" collapsed="false">
      <c r="A50" s="2" t="s">
        <v>523</v>
      </c>
      <c r="B50" s="2" t="s">
        <v>524</v>
      </c>
      <c r="C50" s="2" t="s">
        <v>45</v>
      </c>
      <c r="D50" s="2" t="s">
        <v>525</v>
      </c>
      <c r="E50" s="2" t="s">
        <v>47</v>
      </c>
      <c r="F50" s="2" t="s">
        <v>48</v>
      </c>
      <c r="G50" s="2" t="s">
        <v>526</v>
      </c>
      <c r="H50" s="2" t="s">
        <v>527</v>
      </c>
      <c r="I50" s="2" t="s">
        <v>528</v>
      </c>
      <c r="J50" s="2" t="s">
        <v>529</v>
      </c>
      <c r="K50" s="2" t="s">
        <v>530</v>
      </c>
      <c r="L50" s="2" t="s">
        <v>335</v>
      </c>
      <c r="M50" s="2"/>
      <c r="N50" s="2"/>
      <c r="O50" s="2" t="s">
        <v>37</v>
      </c>
      <c r="P50" s="2" t="s">
        <v>38</v>
      </c>
      <c r="Q50" s="2"/>
      <c r="R50" s="3" t="n">
        <v>0.92</v>
      </c>
      <c r="S50" s="3" t="n">
        <v>1.2</v>
      </c>
      <c r="T50" s="3" t="n">
        <v>2</v>
      </c>
      <c r="U50" s="2" t="s">
        <v>531</v>
      </c>
      <c r="V50" s="2" t="s">
        <v>40</v>
      </c>
      <c r="W50" s="2" t="s">
        <v>98</v>
      </c>
      <c r="X50" s="4" t="s">
        <v>42</v>
      </c>
      <c r="Y50" s="2" t="n">
        <v>17429181</v>
      </c>
    </row>
    <row r="51" customFormat="false" ht="15" hidden="false" customHeight="false" outlineLevel="0" collapsed="false">
      <c r="A51" s="2" t="s">
        <v>532</v>
      </c>
      <c r="B51" s="2" t="s">
        <v>533</v>
      </c>
      <c r="C51" s="2" t="s">
        <v>45</v>
      </c>
      <c r="D51" s="2" t="s">
        <v>534</v>
      </c>
      <c r="E51" s="2" t="s">
        <v>90</v>
      </c>
      <c r="F51" s="2" t="s">
        <v>48</v>
      </c>
      <c r="G51" s="2" t="s">
        <v>535</v>
      </c>
      <c r="H51" s="2"/>
      <c r="I51" s="2" t="s">
        <v>536</v>
      </c>
      <c r="J51" s="2" t="s">
        <v>537</v>
      </c>
      <c r="K51" s="2" t="s">
        <v>538</v>
      </c>
      <c r="L51" s="2" t="s">
        <v>261</v>
      </c>
      <c r="M51" s="2"/>
      <c r="N51" s="2"/>
      <c r="O51" s="2" t="s">
        <v>37</v>
      </c>
      <c r="P51" s="2" t="s">
        <v>38</v>
      </c>
      <c r="Q51" s="2"/>
      <c r="R51" s="3" t="n">
        <v>1</v>
      </c>
      <c r="S51" s="3" t="n">
        <v>1.2</v>
      </c>
      <c r="T51" s="3" t="n">
        <v>2.1</v>
      </c>
      <c r="U51" s="2" t="s">
        <v>539</v>
      </c>
      <c r="V51" s="2" t="s">
        <v>40</v>
      </c>
      <c r="W51" s="2" t="s">
        <v>98</v>
      </c>
      <c r="X51" s="4" t="s">
        <v>42</v>
      </c>
      <c r="Y51" s="2" t="n">
        <v>17429174</v>
      </c>
    </row>
    <row r="52" customFormat="false" ht="15" hidden="false" customHeight="false" outlineLevel="0" collapsed="false">
      <c r="A52" s="2" t="s">
        <v>540</v>
      </c>
      <c r="B52" s="2" t="s">
        <v>541</v>
      </c>
      <c r="C52" s="2" t="s">
        <v>542</v>
      </c>
      <c r="D52" s="2" t="s">
        <v>543</v>
      </c>
      <c r="E52" s="2" t="s">
        <v>90</v>
      </c>
      <c r="F52" s="2" t="s">
        <v>48</v>
      </c>
      <c r="G52" s="2" t="s">
        <v>544</v>
      </c>
      <c r="H52" s="2"/>
      <c r="I52" s="2" t="s">
        <v>545</v>
      </c>
      <c r="J52" s="2" t="s">
        <v>546</v>
      </c>
      <c r="K52" s="2" t="s">
        <v>547</v>
      </c>
      <c r="L52" s="2" t="s">
        <v>548</v>
      </c>
      <c r="M52" s="2"/>
      <c r="N52" s="2"/>
      <c r="O52" s="2" t="s">
        <v>37</v>
      </c>
      <c r="P52" s="2" t="s">
        <v>38</v>
      </c>
      <c r="Q52" s="2"/>
      <c r="R52" s="3" t="n">
        <v>0.94</v>
      </c>
      <c r="S52" s="3" t="n">
        <v>1.2</v>
      </c>
      <c r="T52" s="3" t="n">
        <v>2</v>
      </c>
      <c r="U52" s="2" t="s">
        <v>549</v>
      </c>
      <c r="V52" s="2" t="s">
        <v>40</v>
      </c>
      <c r="W52" s="2" t="s">
        <v>98</v>
      </c>
      <c r="X52" s="4" t="s">
        <v>42</v>
      </c>
      <c r="Y52" s="2" t="n">
        <v>17429168</v>
      </c>
    </row>
    <row r="53" customFormat="false" ht="15" hidden="false" customHeight="false" outlineLevel="0" collapsed="false">
      <c r="A53" s="2" t="s">
        <v>550</v>
      </c>
      <c r="B53" s="2" t="s">
        <v>551</v>
      </c>
      <c r="C53" s="2" t="s">
        <v>552</v>
      </c>
      <c r="D53" s="2" t="s">
        <v>553</v>
      </c>
      <c r="E53" s="2" t="s">
        <v>58</v>
      </c>
      <c r="F53" s="2" t="s">
        <v>30</v>
      </c>
      <c r="G53" s="2" t="s">
        <v>287</v>
      </c>
      <c r="H53" s="2" t="s">
        <v>554</v>
      </c>
      <c r="I53" s="2" t="s">
        <v>555</v>
      </c>
      <c r="J53" s="2" t="s">
        <v>556</v>
      </c>
      <c r="K53" s="2" t="s">
        <v>557</v>
      </c>
      <c r="L53" s="2" t="s">
        <v>558</v>
      </c>
      <c r="M53" s="2"/>
      <c r="N53" s="2"/>
      <c r="O53" s="2" t="s">
        <v>37</v>
      </c>
      <c r="P53" s="2" t="s">
        <v>38</v>
      </c>
      <c r="Q53" s="2"/>
      <c r="R53" s="3" t="n">
        <v>0.94</v>
      </c>
      <c r="S53" s="3" t="n">
        <v>1.2</v>
      </c>
      <c r="T53" s="3" t="n">
        <v>2</v>
      </c>
      <c r="U53" s="2" t="s">
        <v>559</v>
      </c>
      <c r="V53" s="2" t="s">
        <v>40</v>
      </c>
      <c r="W53" s="2" t="s">
        <v>98</v>
      </c>
      <c r="X53" s="4" t="s">
        <v>42</v>
      </c>
      <c r="Y53" s="2" t="n">
        <v>17429150</v>
      </c>
    </row>
    <row r="54" customFormat="false" ht="15" hidden="false" customHeight="false" outlineLevel="0" collapsed="false">
      <c r="A54" s="2" t="s">
        <v>560</v>
      </c>
      <c r="B54" s="2" t="s">
        <v>561</v>
      </c>
      <c r="C54" s="2" t="s">
        <v>45</v>
      </c>
      <c r="D54" s="2" t="s">
        <v>562</v>
      </c>
      <c r="E54" s="2" t="s">
        <v>47</v>
      </c>
      <c r="F54" s="2" t="s">
        <v>30</v>
      </c>
      <c r="G54" s="2" t="s">
        <v>563</v>
      </c>
      <c r="H54" s="2"/>
      <c r="I54" s="2" t="s">
        <v>564</v>
      </c>
      <c r="J54" s="2" t="s">
        <v>565</v>
      </c>
      <c r="K54" s="2" t="s">
        <v>566</v>
      </c>
      <c r="L54" s="2" t="s">
        <v>180</v>
      </c>
      <c r="M54" s="2"/>
      <c r="N54" s="2"/>
      <c r="O54" s="2" t="s">
        <v>37</v>
      </c>
      <c r="P54" s="2" t="s">
        <v>38</v>
      </c>
      <c r="Q54" s="2"/>
      <c r="R54" s="3" t="n">
        <v>0.92</v>
      </c>
      <c r="S54" s="3" t="n">
        <v>1.2</v>
      </c>
      <c r="T54" s="3" t="n">
        <v>2</v>
      </c>
      <c r="U54" s="2" t="s">
        <v>567</v>
      </c>
      <c r="V54" s="2" t="s">
        <v>40</v>
      </c>
      <c r="W54" s="2" t="s">
        <v>98</v>
      </c>
      <c r="X54" s="4" t="s">
        <v>42</v>
      </c>
      <c r="Y54" s="2" t="n">
        <v>17429143</v>
      </c>
    </row>
    <row r="55" customFormat="false" ht="15" hidden="false" customHeight="false" outlineLevel="0" collapsed="false">
      <c r="A55" s="2" t="s">
        <v>568</v>
      </c>
      <c r="B55" s="2" t="s">
        <v>569</v>
      </c>
      <c r="C55" s="2" t="s">
        <v>45</v>
      </c>
      <c r="D55" s="2" t="s">
        <v>570</v>
      </c>
      <c r="E55" s="2" t="s">
        <v>47</v>
      </c>
      <c r="F55" s="2" t="s">
        <v>30</v>
      </c>
      <c r="G55" s="2" t="s">
        <v>79</v>
      </c>
      <c r="H55" s="2"/>
      <c r="I55" s="2" t="s">
        <v>571</v>
      </c>
      <c r="J55" s="2" t="s">
        <v>572</v>
      </c>
      <c r="K55" s="2" t="s">
        <v>573</v>
      </c>
      <c r="L55" s="2" t="s">
        <v>574</v>
      </c>
      <c r="M55" s="2"/>
      <c r="N55" s="2"/>
      <c r="O55" s="2" t="s">
        <v>37</v>
      </c>
      <c r="P55" s="2" t="s">
        <v>38</v>
      </c>
      <c r="Q55" s="2"/>
      <c r="R55" s="3" t="n">
        <v>0.96</v>
      </c>
      <c r="S55" s="3" t="n">
        <v>1.2</v>
      </c>
      <c r="T55" s="3" t="n">
        <v>2</v>
      </c>
      <c r="U55" s="2" t="s">
        <v>575</v>
      </c>
      <c r="V55" s="2" t="s">
        <v>40</v>
      </c>
      <c r="W55" s="2" t="s">
        <v>98</v>
      </c>
      <c r="X55" s="4" t="s">
        <v>42</v>
      </c>
      <c r="Y55" s="2" t="n">
        <v>17429138</v>
      </c>
    </row>
    <row r="56" customFormat="false" ht="15" hidden="false" customHeight="false" outlineLevel="0" collapsed="false">
      <c r="A56" s="2" t="s">
        <v>576</v>
      </c>
      <c r="B56" s="2" t="s">
        <v>577</v>
      </c>
      <c r="C56" s="2" t="s">
        <v>578</v>
      </c>
      <c r="D56" s="2" t="s">
        <v>579</v>
      </c>
      <c r="E56" s="2" t="s">
        <v>47</v>
      </c>
      <c r="F56" s="2" t="s">
        <v>48</v>
      </c>
      <c r="G56" s="2" t="s">
        <v>580</v>
      </c>
      <c r="H56" s="2" t="s">
        <v>581</v>
      </c>
      <c r="I56" s="2" t="s">
        <v>582</v>
      </c>
      <c r="J56" s="2" t="s">
        <v>583</v>
      </c>
      <c r="K56" s="2" t="s">
        <v>584</v>
      </c>
      <c r="L56" s="2" t="s">
        <v>292</v>
      </c>
      <c r="M56" s="2"/>
      <c r="N56" s="2"/>
      <c r="O56" s="2" t="s">
        <v>37</v>
      </c>
      <c r="P56" s="2" t="s">
        <v>38</v>
      </c>
      <c r="Q56" s="2"/>
      <c r="R56" s="3" t="n">
        <v>0.9</v>
      </c>
      <c r="S56" s="3" t="n">
        <v>1.2</v>
      </c>
      <c r="T56" s="3" t="n">
        <v>1.9</v>
      </c>
      <c r="U56" s="2" t="s">
        <v>585</v>
      </c>
      <c r="V56" s="2" t="s">
        <v>40</v>
      </c>
      <c r="W56" s="2" t="s">
        <v>98</v>
      </c>
      <c r="X56" s="4" t="s">
        <v>42</v>
      </c>
      <c r="Y56" s="2" t="n">
        <v>17429135</v>
      </c>
    </row>
    <row r="57" customFormat="false" ht="15" hidden="false" customHeight="false" outlineLevel="0" collapsed="false">
      <c r="A57" s="2" t="s">
        <v>586</v>
      </c>
      <c r="B57" s="2" t="s">
        <v>587</v>
      </c>
      <c r="C57" s="2" t="s">
        <v>588</v>
      </c>
      <c r="D57" s="2" t="s">
        <v>589</v>
      </c>
      <c r="E57" s="2" t="s">
        <v>47</v>
      </c>
      <c r="F57" s="2" t="s">
        <v>30</v>
      </c>
      <c r="G57" s="2" t="s">
        <v>590</v>
      </c>
      <c r="H57" s="2"/>
      <c r="I57" s="2" t="s">
        <v>591</v>
      </c>
      <c r="J57" s="2" t="s">
        <v>592</v>
      </c>
      <c r="K57" s="2" t="s">
        <v>593</v>
      </c>
      <c r="L57" s="2" t="s">
        <v>594</v>
      </c>
      <c r="M57" s="2"/>
      <c r="N57" s="2"/>
      <c r="O57" s="2" t="s">
        <v>37</v>
      </c>
      <c r="P57" s="2" t="s">
        <v>38</v>
      </c>
      <c r="Q57" s="2"/>
      <c r="R57" s="3" t="n">
        <v>0.92</v>
      </c>
      <c r="S57" s="3" t="n">
        <v>1.2</v>
      </c>
      <c r="T57" s="3" t="n">
        <v>2</v>
      </c>
      <c r="U57" s="2" t="s">
        <v>595</v>
      </c>
      <c r="V57" s="2" t="s">
        <v>40</v>
      </c>
      <c r="W57" s="2" t="s">
        <v>98</v>
      </c>
      <c r="X57" s="4" t="s">
        <v>42</v>
      </c>
      <c r="Y57" s="2" t="n">
        <v>17429128</v>
      </c>
    </row>
    <row r="58" customFormat="false" ht="15" hidden="false" customHeight="false" outlineLevel="0" collapsed="false">
      <c r="A58" s="2" t="s">
        <v>596</v>
      </c>
      <c r="B58" s="2" t="s">
        <v>597</v>
      </c>
      <c r="C58" s="2" t="s">
        <v>598</v>
      </c>
      <c r="D58" s="2" t="s">
        <v>599</v>
      </c>
      <c r="E58" s="2" t="s">
        <v>90</v>
      </c>
      <c r="F58" s="2" t="s">
        <v>48</v>
      </c>
      <c r="G58" s="2" t="s">
        <v>600</v>
      </c>
      <c r="H58" s="2" t="s">
        <v>601</v>
      </c>
      <c r="I58" s="2" t="s">
        <v>602</v>
      </c>
      <c r="J58" s="2" t="s">
        <v>603</v>
      </c>
      <c r="K58" s="2" t="s">
        <v>604</v>
      </c>
      <c r="L58" s="2" t="s">
        <v>605</v>
      </c>
      <c r="M58" s="2"/>
      <c r="N58" s="2"/>
      <c r="O58" s="2" t="s">
        <v>37</v>
      </c>
      <c r="P58" s="2" t="s">
        <v>38</v>
      </c>
      <c r="Q58" s="2"/>
      <c r="R58" s="3" t="n">
        <v>1</v>
      </c>
      <c r="S58" s="3" t="n">
        <v>1.2</v>
      </c>
      <c r="T58" s="3" t="n">
        <v>2.1</v>
      </c>
      <c r="U58" s="2" t="s">
        <v>606</v>
      </c>
      <c r="V58" s="2" t="s">
        <v>40</v>
      </c>
      <c r="W58" s="2" t="s">
        <v>98</v>
      </c>
      <c r="X58" s="4" t="s">
        <v>42</v>
      </c>
      <c r="Y58" s="2" t="n">
        <v>17429115</v>
      </c>
    </row>
    <row r="59" customFormat="false" ht="15" hidden="false" customHeight="false" outlineLevel="0" collapsed="false">
      <c r="A59" s="2" t="s">
        <v>607</v>
      </c>
      <c r="B59" s="2" t="s">
        <v>608</v>
      </c>
      <c r="C59" s="2" t="s">
        <v>45</v>
      </c>
      <c r="D59" s="2" t="s">
        <v>609</v>
      </c>
      <c r="E59" s="2" t="s">
        <v>103</v>
      </c>
      <c r="F59" s="2" t="s">
        <v>165</v>
      </c>
      <c r="G59" s="2" t="s">
        <v>399</v>
      </c>
      <c r="H59" s="2" t="s">
        <v>610</v>
      </c>
      <c r="I59" s="2" t="s">
        <v>611</v>
      </c>
      <c r="J59" s="2" t="s">
        <v>612</v>
      </c>
      <c r="K59" s="2" t="s">
        <v>613</v>
      </c>
      <c r="L59" s="2" t="s">
        <v>614</v>
      </c>
      <c r="M59" s="2"/>
      <c r="N59" s="2"/>
      <c r="O59" s="2" t="s">
        <v>37</v>
      </c>
      <c r="P59" s="2" t="s">
        <v>38</v>
      </c>
      <c r="Q59" s="2"/>
      <c r="R59" s="3" t="n">
        <v>1</v>
      </c>
      <c r="S59" s="3" t="n">
        <v>1.2</v>
      </c>
      <c r="T59" s="3" t="n">
        <v>2.1</v>
      </c>
      <c r="U59" s="2" t="s">
        <v>615</v>
      </c>
      <c r="V59" s="2" t="s">
        <v>40</v>
      </c>
      <c r="W59" s="2" t="s">
        <v>98</v>
      </c>
      <c r="X59" s="4" t="s">
        <v>42</v>
      </c>
      <c r="Y59" s="2" t="n">
        <v>17429107</v>
      </c>
    </row>
    <row r="60" customFormat="false" ht="15" hidden="false" customHeight="false" outlineLevel="0" collapsed="false">
      <c r="A60" s="2" t="s">
        <v>616</v>
      </c>
      <c r="B60" s="2" t="s">
        <v>617</v>
      </c>
      <c r="C60" s="2" t="s">
        <v>27</v>
      </c>
      <c r="D60" s="2" t="s">
        <v>618</v>
      </c>
      <c r="E60" s="2" t="s">
        <v>47</v>
      </c>
      <c r="F60" s="2" t="s">
        <v>48</v>
      </c>
      <c r="G60" s="2" t="s">
        <v>619</v>
      </c>
      <c r="H60" s="2"/>
      <c r="I60" s="2" t="s">
        <v>620</v>
      </c>
      <c r="J60" s="2" t="s">
        <v>621</v>
      </c>
      <c r="K60" s="2" t="s">
        <v>622</v>
      </c>
      <c r="L60" s="2" t="s">
        <v>623</v>
      </c>
      <c r="M60" s="2"/>
      <c r="N60" s="2"/>
      <c r="O60" s="2" t="s">
        <v>37</v>
      </c>
      <c r="P60" s="2" t="s">
        <v>38</v>
      </c>
      <c r="Q60" s="2"/>
      <c r="R60" s="3" t="n">
        <v>0.92</v>
      </c>
      <c r="S60" s="3" t="n">
        <v>1.2</v>
      </c>
      <c r="T60" s="3" t="n">
        <v>2</v>
      </c>
      <c r="U60" s="2" t="s">
        <v>624</v>
      </c>
      <c r="V60" s="2" t="s">
        <v>40</v>
      </c>
      <c r="W60" s="2" t="s">
        <v>98</v>
      </c>
      <c r="X60" s="4" t="s">
        <v>42</v>
      </c>
      <c r="Y60" s="2" t="n">
        <v>17429090</v>
      </c>
    </row>
    <row r="61" customFormat="false" ht="15" hidden="false" customHeight="false" outlineLevel="0" collapsed="false">
      <c r="A61" s="2" t="s">
        <v>625</v>
      </c>
      <c r="B61" s="2" t="s">
        <v>626</v>
      </c>
      <c r="C61" s="2" t="s">
        <v>27</v>
      </c>
      <c r="D61" s="2" t="s">
        <v>627</v>
      </c>
      <c r="E61" s="2" t="s">
        <v>47</v>
      </c>
      <c r="F61" s="2" t="s">
        <v>48</v>
      </c>
      <c r="G61" s="2" t="s">
        <v>628</v>
      </c>
      <c r="H61" s="2" t="s">
        <v>629</v>
      </c>
      <c r="I61" s="2" t="s">
        <v>630</v>
      </c>
      <c r="J61" s="2" t="s">
        <v>631</v>
      </c>
      <c r="K61" s="2" t="s">
        <v>632</v>
      </c>
      <c r="L61" s="2" t="s">
        <v>633</v>
      </c>
      <c r="M61" s="2"/>
      <c r="N61" s="2"/>
      <c r="O61" s="2" t="s">
        <v>37</v>
      </c>
      <c r="P61" s="2" t="s">
        <v>38</v>
      </c>
      <c r="Q61" s="2"/>
      <c r="R61" s="3" t="n">
        <v>0.89</v>
      </c>
      <c r="S61" s="3" t="n">
        <v>1.2</v>
      </c>
      <c r="T61" s="3" t="n">
        <v>1.9</v>
      </c>
      <c r="U61" s="2" t="s">
        <v>634</v>
      </c>
      <c r="V61" s="2" t="s">
        <v>40</v>
      </c>
      <c r="W61" s="2" t="s">
        <v>635</v>
      </c>
      <c r="X61" s="4" t="s">
        <v>42</v>
      </c>
      <c r="Y61" s="2" t="n">
        <v>17429084</v>
      </c>
    </row>
    <row r="62" customFormat="false" ht="15" hidden="false" customHeight="false" outlineLevel="0" collapsed="false">
      <c r="A62" s="2" t="s">
        <v>636</v>
      </c>
      <c r="B62" s="2" t="s">
        <v>637</v>
      </c>
      <c r="C62" s="2" t="s">
        <v>27</v>
      </c>
      <c r="D62" s="2" t="s">
        <v>638</v>
      </c>
      <c r="E62" s="2" t="s">
        <v>47</v>
      </c>
      <c r="F62" s="2" t="s">
        <v>48</v>
      </c>
      <c r="G62" s="2" t="s">
        <v>202</v>
      </c>
      <c r="H62" s="2"/>
      <c r="I62" s="2" t="s">
        <v>639</v>
      </c>
      <c r="J62" s="2" t="s">
        <v>640</v>
      </c>
      <c r="K62" s="2" t="s">
        <v>641</v>
      </c>
      <c r="L62" s="2" t="s">
        <v>53</v>
      </c>
      <c r="M62" s="2"/>
      <c r="N62" s="2"/>
      <c r="O62" s="2" t="s">
        <v>37</v>
      </c>
      <c r="P62" s="2" t="s">
        <v>38</v>
      </c>
      <c r="Q62" s="2"/>
      <c r="R62" s="3" t="n">
        <v>0.86</v>
      </c>
      <c r="S62" s="3" t="n">
        <v>1.2</v>
      </c>
      <c r="T62" s="3" t="n">
        <v>1.9</v>
      </c>
      <c r="U62" s="2" t="s">
        <v>642</v>
      </c>
      <c r="V62" s="2" t="s">
        <v>40</v>
      </c>
      <c r="W62" s="2" t="s">
        <v>635</v>
      </c>
      <c r="X62" s="4" t="s">
        <v>42</v>
      </c>
      <c r="Y62" s="2" t="n">
        <v>17429083</v>
      </c>
    </row>
    <row r="63" customFormat="false" ht="15" hidden="false" customHeight="false" outlineLevel="0" collapsed="false">
      <c r="A63" s="2" t="s">
        <v>643</v>
      </c>
      <c r="B63" s="2" t="s">
        <v>644</v>
      </c>
      <c r="C63" s="2" t="s">
        <v>45</v>
      </c>
      <c r="D63" s="2" t="s">
        <v>645</v>
      </c>
      <c r="E63" s="2" t="s">
        <v>47</v>
      </c>
      <c r="F63" s="2" t="s">
        <v>30</v>
      </c>
      <c r="G63" s="2" t="s">
        <v>287</v>
      </c>
      <c r="H63" s="2" t="s">
        <v>646</v>
      </c>
      <c r="I63" s="2" t="s">
        <v>647</v>
      </c>
      <c r="J63" s="2" t="s">
        <v>648</v>
      </c>
      <c r="K63" s="2" t="s">
        <v>649</v>
      </c>
      <c r="L63" s="2" t="s">
        <v>650</v>
      </c>
      <c r="M63" s="2"/>
      <c r="N63" s="2"/>
      <c r="O63" s="2" t="s">
        <v>37</v>
      </c>
      <c r="P63" s="2" t="s">
        <v>38</v>
      </c>
      <c r="Q63" s="2"/>
      <c r="R63" s="3" t="n">
        <v>0.9</v>
      </c>
      <c r="S63" s="3" t="n">
        <v>1.2</v>
      </c>
      <c r="T63" s="3" t="n">
        <v>2</v>
      </c>
      <c r="U63" s="2" t="s">
        <v>651</v>
      </c>
      <c r="V63" s="2" t="s">
        <v>40</v>
      </c>
      <c r="W63" s="2" t="s">
        <v>635</v>
      </c>
      <c r="X63" s="4" t="s">
        <v>42</v>
      </c>
      <c r="Y63" s="2" t="n">
        <v>17429072</v>
      </c>
    </row>
    <row r="64" customFormat="false" ht="15" hidden="false" customHeight="false" outlineLevel="0" collapsed="false">
      <c r="A64" s="2" t="s">
        <v>652</v>
      </c>
      <c r="B64" s="2" t="s">
        <v>653</v>
      </c>
      <c r="C64" s="2" t="s">
        <v>654</v>
      </c>
      <c r="D64" s="2" t="s">
        <v>655</v>
      </c>
      <c r="E64" s="2" t="s">
        <v>47</v>
      </c>
      <c r="F64" s="2" t="s">
        <v>30</v>
      </c>
      <c r="G64" s="2" t="s">
        <v>399</v>
      </c>
      <c r="H64" s="2" t="s">
        <v>656</v>
      </c>
      <c r="I64" s="2" t="s">
        <v>657</v>
      </c>
      <c r="J64" s="2" t="s">
        <v>658</v>
      </c>
      <c r="K64" s="2" t="s">
        <v>659</v>
      </c>
      <c r="L64" s="2" t="s">
        <v>660</v>
      </c>
      <c r="M64" s="2"/>
      <c r="N64" s="2"/>
      <c r="O64" s="2" t="s">
        <v>37</v>
      </c>
      <c r="P64" s="2" t="s">
        <v>38</v>
      </c>
      <c r="Q64" s="2"/>
      <c r="R64" s="3" t="n">
        <v>0.88</v>
      </c>
      <c r="S64" s="3" t="n">
        <v>1.2</v>
      </c>
      <c r="T64" s="3" t="n">
        <v>1.9</v>
      </c>
      <c r="U64" s="2" t="s">
        <v>661</v>
      </c>
      <c r="V64" s="2" t="s">
        <v>40</v>
      </c>
      <c r="W64" s="2" t="s">
        <v>635</v>
      </c>
      <c r="X64" s="4" t="s">
        <v>42</v>
      </c>
      <c r="Y64" s="2" t="n">
        <v>17429069</v>
      </c>
    </row>
    <row r="65" customFormat="false" ht="15" hidden="false" customHeight="false" outlineLevel="0" collapsed="false">
      <c r="A65" s="2" t="s">
        <v>662</v>
      </c>
      <c r="B65" s="2" t="s">
        <v>663</v>
      </c>
      <c r="C65" s="2" t="s">
        <v>664</v>
      </c>
      <c r="D65" s="2" t="s">
        <v>665</v>
      </c>
      <c r="E65" s="2" t="s">
        <v>47</v>
      </c>
      <c r="F65" s="2" t="s">
        <v>48</v>
      </c>
      <c r="G65" s="2" t="s">
        <v>666</v>
      </c>
      <c r="H65" s="2"/>
      <c r="I65" s="2" t="s">
        <v>667</v>
      </c>
      <c r="J65" s="2" t="s">
        <v>668</v>
      </c>
      <c r="K65" s="2" t="s">
        <v>669</v>
      </c>
      <c r="L65" s="2" t="s">
        <v>432</v>
      </c>
      <c r="M65" s="2"/>
      <c r="N65" s="2"/>
      <c r="O65" s="2" t="s">
        <v>37</v>
      </c>
      <c r="P65" s="2" t="s">
        <v>38</v>
      </c>
      <c r="Q65" s="2"/>
      <c r="R65" s="3" t="n">
        <v>0.81</v>
      </c>
      <c r="S65" s="3" t="n">
        <v>1.2</v>
      </c>
      <c r="T65" s="3" t="n">
        <v>1.8</v>
      </c>
      <c r="U65" s="2" t="s">
        <v>670</v>
      </c>
      <c r="V65" s="2" t="s">
        <v>40</v>
      </c>
      <c r="W65" s="2" t="s">
        <v>635</v>
      </c>
      <c r="X65" s="4" t="s">
        <v>42</v>
      </c>
      <c r="Y65" s="2" t="n">
        <v>17429062</v>
      </c>
    </row>
    <row r="66" customFormat="false" ht="15" hidden="false" customHeight="false" outlineLevel="0" collapsed="false">
      <c r="A66" s="2" t="s">
        <v>671</v>
      </c>
      <c r="B66" s="2" t="s">
        <v>672</v>
      </c>
      <c r="C66" s="2" t="s">
        <v>45</v>
      </c>
      <c r="D66" s="2" t="s">
        <v>673</v>
      </c>
      <c r="E66" s="2" t="s">
        <v>47</v>
      </c>
      <c r="F66" s="2" t="s">
        <v>30</v>
      </c>
      <c r="G66" s="2" t="s">
        <v>674</v>
      </c>
      <c r="H66" s="2" t="s">
        <v>675</v>
      </c>
      <c r="I66" s="2" t="s">
        <v>676</v>
      </c>
      <c r="J66" s="2" t="s">
        <v>677</v>
      </c>
      <c r="K66" s="2" t="s">
        <v>45</v>
      </c>
      <c r="L66" s="2" t="s">
        <v>678</v>
      </c>
      <c r="M66" s="2"/>
      <c r="N66" s="2"/>
      <c r="O66" s="2" t="s">
        <v>37</v>
      </c>
      <c r="P66" s="2" t="s">
        <v>38</v>
      </c>
      <c r="Q66" s="2"/>
      <c r="R66" s="3" t="n">
        <v>0.98</v>
      </c>
      <c r="S66" s="3" t="n">
        <v>1.2</v>
      </c>
      <c r="T66" s="3" t="n">
        <v>2.1</v>
      </c>
      <c r="U66" s="2" t="s">
        <v>679</v>
      </c>
      <c r="V66" s="2" t="s">
        <v>40</v>
      </c>
      <c r="W66" s="2" t="s">
        <v>635</v>
      </c>
      <c r="X66" s="4" t="s">
        <v>42</v>
      </c>
      <c r="Y66" s="2" t="n">
        <v>17429045</v>
      </c>
    </row>
    <row r="67" customFormat="false" ht="15" hidden="false" customHeight="false" outlineLevel="0" collapsed="false">
      <c r="A67" s="2" t="s">
        <v>680</v>
      </c>
      <c r="B67" s="2" t="s">
        <v>681</v>
      </c>
      <c r="C67" s="2" t="s">
        <v>101</v>
      </c>
      <c r="D67" s="2" t="s">
        <v>682</v>
      </c>
      <c r="E67" s="2" t="s">
        <v>47</v>
      </c>
      <c r="F67" s="2" t="s">
        <v>30</v>
      </c>
      <c r="G67" s="2" t="s">
        <v>683</v>
      </c>
      <c r="H67" s="2" t="s">
        <v>684</v>
      </c>
      <c r="I67" s="2" t="s">
        <v>685</v>
      </c>
      <c r="J67" s="2" t="s">
        <v>686</v>
      </c>
      <c r="K67" s="2" t="s">
        <v>687</v>
      </c>
      <c r="L67" s="2" t="s">
        <v>303</v>
      </c>
      <c r="M67" s="2"/>
      <c r="N67" s="2"/>
      <c r="O67" s="2" t="s">
        <v>37</v>
      </c>
      <c r="P67" s="2" t="s">
        <v>38</v>
      </c>
      <c r="Q67" s="2"/>
      <c r="R67" s="3" t="n">
        <v>0.92</v>
      </c>
      <c r="S67" s="3" t="n">
        <v>1.2</v>
      </c>
      <c r="T67" s="3" t="n">
        <v>2</v>
      </c>
      <c r="U67" s="2" t="s">
        <v>688</v>
      </c>
      <c r="V67" s="2" t="s">
        <v>40</v>
      </c>
      <c r="W67" s="2" t="s">
        <v>635</v>
      </c>
      <c r="X67" s="4" t="s">
        <v>42</v>
      </c>
      <c r="Y67" s="2" t="n">
        <v>17429036</v>
      </c>
    </row>
    <row r="68" customFormat="false" ht="15" hidden="false" customHeight="false" outlineLevel="0" collapsed="false">
      <c r="A68" s="2" t="s">
        <v>689</v>
      </c>
      <c r="B68" s="2" t="s">
        <v>690</v>
      </c>
      <c r="C68" s="2" t="s">
        <v>27</v>
      </c>
      <c r="D68" s="2" t="s">
        <v>691</v>
      </c>
      <c r="E68" s="2" t="s">
        <v>90</v>
      </c>
      <c r="F68" s="2" t="s">
        <v>48</v>
      </c>
      <c r="G68" s="2" t="s">
        <v>692</v>
      </c>
      <c r="H68" s="2" t="s">
        <v>693</v>
      </c>
      <c r="I68" s="2" t="s">
        <v>694</v>
      </c>
      <c r="J68" s="2" t="s">
        <v>695</v>
      </c>
      <c r="K68" s="2" t="s">
        <v>696</v>
      </c>
      <c r="L68" s="2" t="s">
        <v>697</v>
      </c>
      <c r="M68" s="2"/>
      <c r="N68" s="2"/>
      <c r="O68" s="2" t="s">
        <v>37</v>
      </c>
      <c r="P68" s="2" t="s">
        <v>38</v>
      </c>
      <c r="Q68" s="2"/>
      <c r="R68" s="3" t="n">
        <v>0.96</v>
      </c>
      <c r="S68" s="3" t="n">
        <v>1.2</v>
      </c>
      <c r="T68" s="3" t="n">
        <v>2</v>
      </c>
      <c r="U68" s="2" t="s">
        <v>698</v>
      </c>
      <c r="V68" s="2" t="s">
        <v>40</v>
      </c>
      <c r="W68" s="2" t="s">
        <v>635</v>
      </c>
      <c r="X68" s="4" t="s">
        <v>42</v>
      </c>
      <c r="Y68" s="2" t="n">
        <v>17429027</v>
      </c>
    </row>
    <row r="69" customFormat="false" ht="15" hidden="false" customHeight="false" outlineLevel="0" collapsed="false">
      <c r="A69" s="2" t="s">
        <v>699</v>
      </c>
      <c r="B69" s="2" t="s">
        <v>700</v>
      </c>
      <c r="C69" s="2" t="s">
        <v>45</v>
      </c>
      <c r="D69" s="2" t="s">
        <v>701</v>
      </c>
      <c r="E69" s="2" t="s">
        <v>47</v>
      </c>
      <c r="F69" s="2" t="s">
        <v>30</v>
      </c>
      <c r="G69" s="2" t="s">
        <v>702</v>
      </c>
      <c r="H69" s="2" t="s">
        <v>703</v>
      </c>
      <c r="I69" s="2" t="s">
        <v>704</v>
      </c>
      <c r="J69" s="2" t="s">
        <v>705</v>
      </c>
      <c r="K69" s="2" t="s">
        <v>706</v>
      </c>
      <c r="L69" s="2" t="s">
        <v>363</v>
      </c>
      <c r="M69" s="2"/>
      <c r="N69" s="2"/>
      <c r="O69" s="2" t="s">
        <v>37</v>
      </c>
      <c r="P69" s="2" t="s">
        <v>38</v>
      </c>
      <c r="Q69" s="2"/>
      <c r="R69" s="3" t="n">
        <v>0.87</v>
      </c>
      <c r="S69" s="3" t="n">
        <v>1.2</v>
      </c>
      <c r="T69" s="3" t="n">
        <v>1.9</v>
      </c>
      <c r="U69" s="2" t="s">
        <v>707</v>
      </c>
      <c r="V69" s="2" t="s">
        <v>40</v>
      </c>
      <c r="W69" s="2" t="s">
        <v>635</v>
      </c>
      <c r="X69" s="4" t="s">
        <v>42</v>
      </c>
      <c r="Y69" s="2" t="n">
        <v>17429016</v>
      </c>
    </row>
    <row r="70" customFormat="false" ht="15" hidden="false" customHeight="false" outlineLevel="0" collapsed="false">
      <c r="A70" s="2" t="s">
        <v>708</v>
      </c>
      <c r="B70" s="2" t="s">
        <v>709</v>
      </c>
      <c r="C70" s="2" t="s">
        <v>494</v>
      </c>
      <c r="D70" s="2" t="s">
        <v>710</v>
      </c>
      <c r="E70" s="2" t="s">
        <v>47</v>
      </c>
      <c r="F70" s="2" t="s">
        <v>48</v>
      </c>
      <c r="G70" s="2" t="s">
        <v>711</v>
      </c>
      <c r="H70" s="2"/>
      <c r="I70" s="2" t="s">
        <v>712</v>
      </c>
      <c r="J70" s="2" t="s">
        <v>713</v>
      </c>
      <c r="K70" s="2" t="s">
        <v>714</v>
      </c>
      <c r="L70" s="2" t="s">
        <v>715</v>
      </c>
      <c r="M70" s="2"/>
      <c r="N70" s="2"/>
      <c r="O70" s="2" t="s">
        <v>37</v>
      </c>
      <c r="P70" s="2" t="s">
        <v>38</v>
      </c>
      <c r="Q70" s="2"/>
      <c r="R70" s="3" t="n">
        <v>0.89</v>
      </c>
      <c r="S70" s="3" t="n">
        <v>1.2</v>
      </c>
      <c r="T70" s="3" t="n">
        <v>1.9</v>
      </c>
      <c r="U70" s="2" t="s">
        <v>716</v>
      </c>
      <c r="V70" s="2" t="s">
        <v>40</v>
      </c>
      <c r="W70" s="2" t="s">
        <v>635</v>
      </c>
      <c r="X70" s="4" t="s">
        <v>42</v>
      </c>
      <c r="Y70" s="2" t="n">
        <v>17428994</v>
      </c>
    </row>
    <row r="71" customFormat="false" ht="15" hidden="false" customHeight="false" outlineLevel="0" collapsed="false">
      <c r="A71" s="2" t="s">
        <v>717</v>
      </c>
      <c r="B71" s="2" t="s">
        <v>718</v>
      </c>
      <c r="C71" s="2" t="s">
        <v>45</v>
      </c>
      <c r="D71" s="2" t="s">
        <v>719</v>
      </c>
      <c r="E71" s="2" t="s">
        <v>90</v>
      </c>
      <c r="F71" s="2" t="s">
        <v>48</v>
      </c>
      <c r="G71" s="2" t="s">
        <v>720</v>
      </c>
      <c r="H71" s="2" t="s">
        <v>721</v>
      </c>
      <c r="I71" s="2" t="s">
        <v>722</v>
      </c>
      <c r="J71" s="2" t="s">
        <v>723</v>
      </c>
      <c r="K71" s="2" t="s">
        <v>724</v>
      </c>
      <c r="L71" s="2" t="s">
        <v>227</v>
      </c>
      <c r="M71" s="2"/>
      <c r="N71" s="2"/>
      <c r="O71" s="2" t="s">
        <v>37</v>
      </c>
      <c r="P71" s="2" t="s">
        <v>38</v>
      </c>
      <c r="Q71" s="2"/>
      <c r="R71" s="3" t="n">
        <v>0.9</v>
      </c>
      <c r="S71" s="3" t="n">
        <v>1.2</v>
      </c>
      <c r="T71" s="3" t="n">
        <v>2</v>
      </c>
      <c r="U71" s="2" t="s">
        <v>725</v>
      </c>
      <c r="V71" s="2" t="s">
        <v>40</v>
      </c>
      <c r="W71" s="2" t="s">
        <v>635</v>
      </c>
      <c r="X71" s="4" t="s">
        <v>42</v>
      </c>
      <c r="Y71" s="2" t="n">
        <v>17428982</v>
      </c>
    </row>
    <row r="72" customFormat="false" ht="15" hidden="false" customHeight="false" outlineLevel="0" collapsed="false">
      <c r="A72" s="2" t="s">
        <v>726</v>
      </c>
      <c r="B72" s="2" t="s">
        <v>727</v>
      </c>
      <c r="C72" s="2" t="s">
        <v>88</v>
      </c>
      <c r="D72" s="2" t="s">
        <v>728</v>
      </c>
      <c r="E72" s="2" t="s">
        <v>103</v>
      </c>
      <c r="F72" s="2" t="s">
        <v>165</v>
      </c>
      <c r="G72" s="2" t="s">
        <v>729</v>
      </c>
      <c r="H72" s="2" t="s">
        <v>730</v>
      </c>
      <c r="I72" s="2" t="s">
        <v>731</v>
      </c>
      <c r="J72" s="2" t="s">
        <v>732</v>
      </c>
      <c r="K72" s="2" t="s">
        <v>88</v>
      </c>
      <c r="L72" s="2" t="s">
        <v>733</v>
      </c>
      <c r="M72" s="2"/>
      <c r="N72" s="2"/>
      <c r="O72" s="2" t="s">
        <v>37</v>
      </c>
      <c r="P72" s="2" t="s">
        <v>38</v>
      </c>
      <c r="Q72" s="2"/>
      <c r="R72" s="3" t="n">
        <v>0.95</v>
      </c>
      <c r="S72" s="3" t="n">
        <v>1.2</v>
      </c>
      <c r="T72" s="3" t="n">
        <v>2</v>
      </c>
      <c r="U72" s="2" t="s">
        <v>734</v>
      </c>
      <c r="V72" s="2" t="s">
        <v>40</v>
      </c>
      <c r="W72" s="2" t="s">
        <v>635</v>
      </c>
      <c r="X72" s="4" t="s">
        <v>42</v>
      </c>
      <c r="Y72" s="2" t="n">
        <v>17428976</v>
      </c>
    </row>
    <row r="73" customFormat="false" ht="15" hidden="false" customHeight="false" outlineLevel="0" collapsed="false">
      <c r="A73" s="2" t="s">
        <v>735</v>
      </c>
      <c r="B73" s="2" t="s">
        <v>736</v>
      </c>
      <c r="C73" s="2" t="s">
        <v>101</v>
      </c>
      <c r="D73" s="2" t="s">
        <v>737</v>
      </c>
      <c r="E73" s="2" t="s">
        <v>47</v>
      </c>
      <c r="F73" s="2" t="s">
        <v>48</v>
      </c>
      <c r="G73" s="2" t="s">
        <v>298</v>
      </c>
      <c r="H73" s="2" t="s">
        <v>738</v>
      </c>
      <c r="I73" s="2" t="s">
        <v>739</v>
      </c>
      <c r="J73" s="2" t="s">
        <v>740</v>
      </c>
      <c r="K73" s="2" t="s">
        <v>741</v>
      </c>
      <c r="L73" s="2" t="s">
        <v>742</v>
      </c>
      <c r="M73" s="2"/>
      <c r="N73" s="2"/>
      <c r="O73" s="2" t="s">
        <v>37</v>
      </c>
      <c r="P73" s="2" t="s">
        <v>38</v>
      </c>
      <c r="Q73" s="2"/>
      <c r="R73" s="3" t="n">
        <v>0.88</v>
      </c>
      <c r="S73" s="3" t="n">
        <v>1.2</v>
      </c>
      <c r="T73" s="3" t="n">
        <v>1.9</v>
      </c>
      <c r="U73" s="2" t="s">
        <v>743</v>
      </c>
      <c r="V73" s="2" t="s">
        <v>40</v>
      </c>
      <c r="W73" s="2" t="s">
        <v>635</v>
      </c>
      <c r="X73" s="4" t="s">
        <v>42</v>
      </c>
      <c r="Y73" s="2" t="n">
        <v>17428945</v>
      </c>
    </row>
    <row r="74" customFormat="false" ht="15" hidden="false" customHeight="false" outlineLevel="0" collapsed="false">
      <c r="A74" s="2" t="s">
        <v>744</v>
      </c>
      <c r="B74" s="2" t="s">
        <v>745</v>
      </c>
      <c r="C74" s="2" t="s">
        <v>45</v>
      </c>
      <c r="D74" s="2" t="s">
        <v>746</v>
      </c>
      <c r="E74" s="2" t="s">
        <v>47</v>
      </c>
      <c r="F74" s="2" t="s">
        <v>30</v>
      </c>
      <c r="G74" s="2" t="s">
        <v>59</v>
      </c>
      <c r="H74" s="2" t="s">
        <v>747</v>
      </c>
      <c r="I74" s="2" t="s">
        <v>748</v>
      </c>
      <c r="J74" s="2" t="s">
        <v>749</v>
      </c>
      <c r="K74" s="2" t="s">
        <v>750</v>
      </c>
      <c r="L74" s="2" t="s">
        <v>751</v>
      </c>
      <c r="M74" s="2"/>
      <c r="N74" s="2"/>
      <c r="O74" s="2" t="s">
        <v>37</v>
      </c>
      <c r="P74" s="2" t="s">
        <v>38</v>
      </c>
      <c r="Q74" s="2"/>
      <c r="R74" s="3" t="n">
        <v>0.9</v>
      </c>
      <c r="S74" s="3" t="n">
        <v>1.2</v>
      </c>
      <c r="T74" s="3" t="n">
        <v>2</v>
      </c>
      <c r="U74" s="2" t="s">
        <v>752</v>
      </c>
      <c r="V74" s="2" t="s">
        <v>40</v>
      </c>
      <c r="W74" s="2" t="s">
        <v>635</v>
      </c>
      <c r="X74" s="4" t="s">
        <v>42</v>
      </c>
      <c r="Y74" s="2" t="n">
        <v>17428939</v>
      </c>
    </row>
    <row r="75" customFormat="false" ht="15" hidden="false" customHeight="false" outlineLevel="0" collapsed="false">
      <c r="A75" s="2" t="s">
        <v>753</v>
      </c>
      <c r="B75" s="2" t="s">
        <v>754</v>
      </c>
      <c r="C75" s="2" t="s">
        <v>45</v>
      </c>
      <c r="D75" s="2" t="s">
        <v>755</v>
      </c>
      <c r="E75" s="2" t="s">
        <v>47</v>
      </c>
      <c r="F75" s="2" t="s">
        <v>30</v>
      </c>
      <c r="G75" s="2" t="s">
        <v>756</v>
      </c>
      <c r="H75" s="2" t="s">
        <v>757</v>
      </c>
      <c r="I75" s="2" t="s">
        <v>758</v>
      </c>
      <c r="J75" s="2" t="s">
        <v>759</v>
      </c>
      <c r="K75" s="2" t="s">
        <v>760</v>
      </c>
      <c r="L75" s="2" t="s">
        <v>761</v>
      </c>
      <c r="M75" s="2"/>
      <c r="N75" s="2"/>
      <c r="O75" s="2" t="s">
        <v>37</v>
      </c>
      <c r="P75" s="2" t="s">
        <v>38</v>
      </c>
      <c r="Q75" s="2"/>
      <c r="R75" s="3" t="n">
        <v>0.88</v>
      </c>
      <c r="S75" s="3" t="n">
        <v>1.2</v>
      </c>
      <c r="T75" s="3" t="n">
        <v>1.9</v>
      </c>
      <c r="U75" s="2" t="s">
        <v>762</v>
      </c>
      <c r="V75" s="2" t="s">
        <v>40</v>
      </c>
      <c r="W75" s="2" t="s">
        <v>635</v>
      </c>
      <c r="X75" s="4" t="s">
        <v>42</v>
      </c>
      <c r="Y75" s="2" t="n">
        <v>17428927</v>
      </c>
    </row>
    <row r="76" customFormat="false" ht="15" hidden="false" customHeight="false" outlineLevel="0" collapsed="false">
      <c r="A76" s="2" t="s">
        <v>763</v>
      </c>
      <c r="B76" s="2" t="s">
        <v>764</v>
      </c>
      <c r="C76" s="2" t="s">
        <v>27</v>
      </c>
      <c r="D76" s="2" t="s">
        <v>765</v>
      </c>
      <c r="E76" s="2" t="s">
        <v>29</v>
      </c>
      <c r="F76" s="2" t="s">
        <v>30</v>
      </c>
      <c r="G76" s="2" t="s">
        <v>166</v>
      </c>
      <c r="H76" s="2"/>
      <c r="I76" s="2" t="s">
        <v>766</v>
      </c>
      <c r="J76" s="2" t="s">
        <v>767</v>
      </c>
      <c r="K76" s="2" t="s">
        <v>768</v>
      </c>
      <c r="L76" s="2" t="s">
        <v>769</v>
      </c>
      <c r="M76" s="2"/>
      <c r="N76" s="2"/>
      <c r="O76" s="2" t="s">
        <v>37</v>
      </c>
      <c r="P76" s="2" t="s">
        <v>38</v>
      </c>
      <c r="Q76" s="2"/>
      <c r="R76" s="3" t="n">
        <v>0.9</v>
      </c>
      <c r="S76" s="3" t="n">
        <v>1.2</v>
      </c>
      <c r="T76" s="3" t="n">
        <v>2</v>
      </c>
      <c r="U76" s="2" t="s">
        <v>770</v>
      </c>
      <c r="V76" s="2" t="s">
        <v>40</v>
      </c>
      <c r="W76" s="2" t="s">
        <v>635</v>
      </c>
      <c r="X76" s="4" t="s">
        <v>42</v>
      </c>
      <c r="Y76" s="2" t="n">
        <v>17428922</v>
      </c>
    </row>
    <row r="77" customFormat="false" ht="15" hidden="false" customHeight="false" outlineLevel="0" collapsed="false">
      <c r="A77" s="2" t="s">
        <v>771</v>
      </c>
      <c r="B77" s="2" t="s">
        <v>484</v>
      </c>
      <c r="C77" s="2" t="s">
        <v>772</v>
      </c>
      <c r="D77" s="2" t="s">
        <v>773</v>
      </c>
      <c r="E77" s="2" t="s">
        <v>47</v>
      </c>
      <c r="F77" s="2" t="s">
        <v>30</v>
      </c>
      <c r="G77" s="2" t="s">
        <v>666</v>
      </c>
      <c r="H77" s="2" t="s">
        <v>774</v>
      </c>
      <c r="I77" s="2" t="s">
        <v>775</v>
      </c>
      <c r="J77" s="2" t="s">
        <v>776</v>
      </c>
      <c r="K77" s="2" t="s">
        <v>777</v>
      </c>
      <c r="L77" s="2" t="s">
        <v>150</v>
      </c>
      <c r="M77" s="2"/>
      <c r="N77" s="2"/>
      <c r="O77" s="2" t="s">
        <v>37</v>
      </c>
      <c r="P77" s="2" t="s">
        <v>38</v>
      </c>
      <c r="Q77" s="2"/>
      <c r="R77" s="3" t="n">
        <v>0.88</v>
      </c>
      <c r="S77" s="3" t="n">
        <v>1.2</v>
      </c>
      <c r="T77" s="3" t="n">
        <v>1.9</v>
      </c>
      <c r="U77" s="2" t="s">
        <v>778</v>
      </c>
      <c r="V77" s="2" t="s">
        <v>40</v>
      </c>
      <c r="W77" s="2" t="s">
        <v>635</v>
      </c>
      <c r="X77" s="4" t="s">
        <v>42</v>
      </c>
      <c r="Y77" s="2" t="n">
        <v>17428912</v>
      </c>
    </row>
    <row r="78" customFormat="false" ht="15" hidden="false" customHeight="false" outlineLevel="0" collapsed="false">
      <c r="A78" s="2" t="s">
        <v>636</v>
      </c>
      <c r="B78" s="2" t="s">
        <v>779</v>
      </c>
      <c r="C78" s="2" t="s">
        <v>772</v>
      </c>
      <c r="D78" s="2" t="s">
        <v>780</v>
      </c>
      <c r="E78" s="2" t="s">
        <v>47</v>
      </c>
      <c r="F78" s="2" t="s">
        <v>48</v>
      </c>
      <c r="G78" s="2" t="s">
        <v>437</v>
      </c>
      <c r="H78" s="2" t="s">
        <v>781</v>
      </c>
      <c r="I78" s="2" t="s">
        <v>782</v>
      </c>
      <c r="J78" s="2" t="s">
        <v>783</v>
      </c>
      <c r="K78" s="2" t="s">
        <v>784</v>
      </c>
      <c r="L78" s="2" t="s">
        <v>785</v>
      </c>
      <c r="M78" s="2"/>
      <c r="N78" s="2"/>
      <c r="O78" s="2" t="s">
        <v>37</v>
      </c>
      <c r="P78" s="2" t="s">
        <v>38</v>
      </c>
      <c r="Q78" s="2"/>
      <c r="R78" s="3" t="n">
        <v>0.96</v>
      </c>
      <c r="S78" s="3" t="n">
        <v>1.2</v>
      </c>
      <c r="T78" s="3" t="n">
        <v>2</v>
      </c>
      <c r="U78" s="2" t="s">
        <v>786</v>
      </c>
      <c r="V78" s="2" t="s">
        <v>40</v>
      </c>
      <c r="W78" s="2" t="s">
        <v>635</v>
      </c>
      <c r="X78" s="4" t="s">
        <v>42</v>
      </c>
      <c r="Y78" s="2" t="n">
        <v>17428905</v>
      </c>
    </row>
    <row r="79" customFormat="false" ht="15" hidden="false" customHeight="false" outlineLevel="0" collapsed="false">
      <c r="A79" s="2" t="s">
        <v>787</v>
      </c>
      <c r="B79" s="2" t="s">
        <v>788</v>
      </c>
      <c r="C79" s="2" t="s">
        <v>789</v>
      </c>
      <c r="D79" s="2" t="s">
        <v>790</v>
      </c>
      <c r="E79" s="2" t="s">
        <v>47</v>
      </c>
      <c r="F79" s="2" t="s">
        <v>48</v>
      </c>
      <c r="G79" s="2" t="s">
        <v>791</v>
      </c>
      <c r="H79" s="2" t="s">
        <v>792</v>
      </c>
      <c r="I79" s="2" t="s">
        <v>793</v>
      </c>
      <c r="J79" s="2" t="s">
        <v>794</v>
      </c>
      <c r="K79" s="2" t="s">
        <v>795</v>
      </c>
      <c r="L79" s="2" t="s">
        <v>614</v>
      </c>
      <c r="M79" s="2"/>
      <c r="N79" s="2"/>
      <c r="O79" s="2" t="s">
        <v>37</v>
      </c>
      <c r="P79" s="2" t="s">
        <v>38</v>
      </c>
      <c r="Q79" s="2"/>
      <c r="R79" s="3" t="n">
        <v>0.94</v>
      </c>
      <c r="S79" s="3" t="n">
        <v>1.2</v>
      </c>
      <c r="T79" s="3" t="n">
        <v>2</v>
      </c>
      <c r="U79" s="2" t="s">
        <v>796</v>
      </c>
      <c r="V79" s="2" t="s">
        <v>40</v>
      </c>
      <c r="W79" s="2" t="s">
        <v>635</v>
      </c>
      <c r="X79" s="4" t="s">
        <v>42</v>
      </c>
      <c r="Y79" s="2" t="n">
        <v>17428882</v>
      </c>
    </row>
    <row r="80" customFormat="false" ht="15" hidden="false" customHeight="false" outlineLevel="0" collapsed="false">
      <c r="A80" s="2" t="s">
        <v>797</v>
      </c>
      <c r="B80" s="2" t="s">
        <v>798</v>
      </c>
      <c r="C80" s="2" t="s">
        <v>799</v>
      </c>
      <c r="D80" s="2" t="s">
        <v>800</v>
      </c>
      <c r="E80" s="2" t="s">
        <v>47</v>
      </c>
      <c r="F80" s="2" t="s">
        <v>30</v>
      </c>
      <c r="G80" s="2" t="s">
        <v>79</v>
      </c>
      <c r="H80" s="2" t="s">
        <v>801</v>
      </c>
      <c r="I80" s="2" t="s">
        <v>802</v>
      </c>
      <c r="J80" s="2" t="s">
        <v>803</v>
      </c>
      <c r="K80" s="2" t="s">
        <v>804</v>
      </c>
      <c r="L80" s="2" t="s">
        <v>510</v>
      </c>
      <c r="M80" s="2"/>
      <c r="N80" s="2"/>
      <c r="O80" s="2" t="s">
        <v>37</v>
      </c>
      <c r="P80" s="2" t="s">
        <v>38</v>
      </c>
      <c r="Q80" s="2"/>
      <c r="R80" s="3" t="n">
        <v>0.96</v>
      </c>
      <c r="S80" s="3" t="n">
        <v>1.2</v>
      </c>
      <c r="T80" s="3" t="n">
        <v>2</v>
      </c>
      <c r="U80" s="2" t="s">
        <v>805</v>
      </c>
      <c r="V80" s="2" t="s">
        <v>40</v>
      </c>
      <c r="W80" s="2" t="s">
        <v>635</v>
      </c>
      <c r="X80" s="4" t="s">
        <v>42</v>
      </c>
      <c r="Y80" s="2" t="n">
        <v>17428871</v>
      </c>
    </row>
    <row r="81" customFormat="false" ht="15" hidden="false" customHeight="false" outlineLevel="0" collapsed="false">
      <c r="A81" s="2" t="s">
        <v>806</v>
      </c>
      <c r="B81" s="2" t="s">
        <v>807</v>
      </c>
      <c r="C81" s="2" t="s">
        <v>175</v>
      </c>
      <c r="D81" s="2" t="s">
        <v>808</v>
      </c>
      <c r="E81" s="2" t="s">
        <v>90</v>
      </c>
      <c r="F81" s="2" t="s">
        <v>48</v>
      </c>
      <c r="G81" s="2" t="s">
        <v>809</v>
      </c>
      <c r="H81" s="2"/>
      <c r="I81" s="2" t="s">
        <v>810</v>
      </c>
      <c r="J81" s="2" t="s">
        <v>811</v>
      </c>
      <c r="K81" s="2" t="s">
        <v>812</v>
      </c>
      <c r="L81" s="2" t="s">
        <v>813</v>
      </c>
      <c r="M81" s="2"/>
      <c r="N81" s="2"/>
      <c r="O81" s="2" t="s">
        <v>37</v>
      </c>
      <c r="P81" s="2" t="s">
        <v>38</v>
      </c>
      <c r="Q81" s="2"/>
      <c r="R81" s="3" t="n">
        <v>0.96</v>
      </c>
      <c r="S81" s="3" t="n">
        <v>1.2</v>
      </c>
      <c r="T81" s="3" t="n">
        <v>2</v>
      </c>
      <c r="U81" s="2" t="s">
        <v>814</v>
      </c>
      <c r="V81" s="2" t="s">
        <v>40</v>
      </c>
      <c r="W81" s="2" t="s">
        <v>635</v>
      </c>
      <c r="X81" s="4" t="s">
        <v>42</v>
      </c>
      <c r="Y81" s="2" t="n">
        <v>17428868</v>
      </c>
    </row>
    <row r="82" customFormat="false" ht="15" hidden="false" customHeight="false" outlineLevel="0" collapsed="false">
      <c r="A82" s="2" t="s">
        <v>815</v>
      </c>
      <c r="B82" s="2" t="s">
        <v>816</v>
      </c>
      <c r="C82" s="2" t="s">
        <v>45</v>
      </c>
      <c r="D82" s="2" t="s">
        <v>817</v>
      </c>
      <c r="E82" s="2" t="s">
        <v>90</v>
      </c>
      <c r="F82" s="2" t="s">
        <v>48</v>
      </c>
      <c r="G82" s="2" t="s">
        <v>818</v>
      </c>
      <c r="H82" s="2"/>
      <c r="I82" s="2" t="s">
        <v>819</v>
      </c>
      <c r="J82" s="2" t="s">
        <v>820</v>
      </c>
      <c r="K82" s="2" t="s">
        <v>821</v>
      </c>
      <c r="L82" s="2" t="s">
        <v>822</v>
      </c>
      <c r="M82" s="2"/>
      <c r="N82" s="2"/>
      <c r="O82" s="2" t="s">
        <v>37</v>
      </c>
      <c r="P82" s="2" t="s">
        <v>38</v>
      </c>
      <c r="Q82" s="2"/>
      <c r="R82" s="3" t="n">
        <v>0.96</v>
      </c>
      <c r="S82" s="3" t="n">
        <v>1.2</v>
      </c>
      <c r="T82" s="3" t="n">
        <v>2</v>
      </c>
      <c r="U82" s="2" t="s">
        <v>823</v>
      </c>
      <c r="V82" s="2" t="s">
        <v>40</v>
      </c>
      <c r="W82" s="2" t="s">
        <v>635</v>
      </c>
      <c r="X82" s="4" t="s">
        <v>42</v>
      </c>
      <c r="Y82" s="2" t="n">
        <v>17428855</v>
      </c>
    </row>
    <row r="83" customFormat="false" ht="15" hidden="false" customHeight="false" outlineLevel="0" collapsed="false">
      <c r="A83" s="2" t="s">
        <v>824</v>
      </c>
      <c r="B83" s="2" t="s">
        <v>825</v>
      </c>
      <c r="C83" s="2" t="s">
        <v>27</v>
      </c>
      <c r="D83" s="2" t="s">
        <v>826</v>
      </c>
      <c r="E83" s="2" t="s">
        <v>47</v>
      </c>
      <c r="F83" s="2" t="s">
        <v>48</v>
      </c>
      <c r="G83" s="2" t="s">
        <v>437</v>
      </c>
      <c r="H83" s="2" t="s">
        <v>827</v>
      </c>
      <c r="I83" s="2" t="s">
        <v>828</v>
      </c>
      <c r="J83" s="2" t="s">
        <v>829</v>
      </c>
      <c r="K83" s="2" t="s">
        <v>830</v>
      </c>
      <c r="L83" s="2" t="s">
        <v>831</v>
      </c>
      <c r="M83" s="2"/>
      <c r="N83" s="2"/>
      <c r="O83" s="2" t="s">
        <v>37</v>
      </c>
      <c r="P83" s="2" t="s">
        <v>38</v>
      </c>
      <c r="Q83" s="2"/>
      <c r="R83" s="3" t="n">
        <v>0.97</v>
      </c>
      <c r="S83" s="3" t="n">
        <v>1.2</v>
      </c>
      <c r="T83" s="3" t="n">
        <v>2.1</v>
      </c>
      <c r="U83" s="2" t="s">
        <v>832</v>
      </c>
      <c r="V83" s="2" t="s">
        <v>40</v>
      </c>
      <c r="W83" s="2" t="s">
        <v>635</v>
      </c>
      <c r="X83" s="4" t="s">
        <v>42</v>
      </c>
      <c r="Y83" s="2" t="n">
        <v>17428823</v>
      </c>
    </row>
    <row r="84" customFormat="false" ht="15" hidden="false" customHeight="false" outlineLevel="0" collapsed="false">
      <c r="A84" s="2" t="s">
        <v>833</v>
      </c>
      <c r="B84" s="2" t="s">
        <v>834</v>
      </c>
      <c r="C84" s="2" t="s">
        <v>27</v>
      </c>
      <c r="D84" s="2" t="s">
        <v>835</v>
      </c>
      <c r="E84" s="2" t="s">
        <v>103</v>
      </c>
      <c r="F84" s="2" t="s">
        <v>165</v>
      </c>
      <c r="G84" s="2" t="s">
        <v>836</v>
      </c>
      <c r="H84" s="2" t="s">
        <v>837</v>
      </c>
      <c r="I84" s="2" t="s">
        <v>838</v>
      </c>
      <c r="J84" s="2" t="s">
        <v>839</v>
      </c>
      <c r="K84" s="2" t="s">
        <v>840</v>
      </c>
      <c r="L84" s="2" t="s">
        <v>841</v>
      </c>
      <c r="M84" s="2"/>
      <c r="N84" s="2"/>
      <c r="O84" s="2" t="s">
        <v>37</v>
      </c>
      <c r="P84" s="2" t="s">
        <v>38</v>
      </c>
      <c r="Q84" s="2"/>
      <c r="R84" s="3" t="n">
        <v>0.93</v>
      </c>
      <c r="S84" s="3" t="n">
        <v>1.2</v>
      </c>
      <c r="T84" s="3" t="n">
        <v>2</v>
      </c>
      <c r="U84" s="2" t="s">
        <v>842</v>
      </c>
      <c r="V84" s="2" t="s">
        <v>40</v>
      </c>
      <c r="W84" s="2" t="s">
        <v>635</v>
      </c>
      <c r="X84" s="4" t="s">
        <v>42</v>
      </c>
      <c r="Y84" s="2" t="n">
        <v>17428816</v>
      </c>
    </row>
    <row r="85" customFormat="false" ht="15" hidden="false" customHeight="false" outlineLevel="0" collapsed="false">
      <c r="A85" s="2" t="s">
        <v>843</v>
      </c>
      <c r="B85" s="2" t="s">
        <v>844</v>
      </c>
      <c r="C85" s="2" t="s">
        <v>845</v>
      </c>
      <c r="D85" s="2" t="s">
        <v>846</v>
      </c>
      <c r="E85" s="2" t="s">
        <v>255</v>
      </c>
      <c r="F85" s="2" t="s">
        <v>30</v>
      </c>
      <c r="G85" s="2" t="s">
        <v>847</v>
      </c>
      <c r="H85" s="2" t="s">
        <v>848</v>
      </c>
      <c r="I85" s="2" t="s">
        <v>849</v>
      </c>
      <c r="J85" s="2" t="s">
        <v>850</v>
      </c>
      <c r="K85" s="2" t="s">
        <v>851</v>
      </c>
      <c r="L85" s="2" t="s">
        <v>852</v>
      </c>
      <c r="M85" s="2"/>
      <c r="N85" s="2"/>
      <c r="O85" s="2" t="s">
        <v>37</v>
      </c>
      <c r="P85" s="2" t="s">
        <v>38</v>
      </c>
      <c r="Q85" s="2"/>
      <c r="R85" s="3" t="n">
        <v>1</v>
      </c>
      <c r="S85" s="3" t="n">
        <v>1.2</v>
      </c>
      <c r="T85" s="3" t="n">
        <v>2.1</v>
      </c>
      <c r="U85" s="2" t="s">
        <v>853</v>
      </c>
      <c r="V85" s="2" t="s">
        <v>40</v>
      </c>
      <c r="W85" s="2" t="s">
        <v>635</v>
      </c>
      <c r="X85" s="4" t="s">
        <v>42</v>
      </c>
      <c r="Y85" s="2" t="n">
        <v>17428805</v>
      </c>
    </row>
    <row r="86" customFormat="false" ht="15" hidden="false" customHeight="false" outlineLevel="0" collapsed="false">
      <c r="A86" s="2" t="s">
        <v>43</v>
      </c>
      <c r="B86" s="2" t="s">
        <v>854</v>
      </c>
      <c r="C86" s="2" t="s">
        <v>45</v>
      </c>
      <c r="D86" s="2" t="s">
        <v>855</v>
      </c>
      <c r="E86" s="2" t="s">
        <v>856</v>
      </c>
      <c r="F86" s="2" t="s">
        <v>165</v>
      </c>
      <c r="G86" s="2" t="s">
        <v>857</v>
      </c>
      <c r="H86" s="2" t="s">
        <v>858</v>
      </c>
      <c r="I86" s="2" t="s">
        <v>859</v>
      </c>
      <c r="J86" s="2" t="s">
        <v>860</v>
      </c>
      <c r="K86" s="2" t="s">
        <v>861</v>
      </c>
      <c r="L86" s="2" t="s">
        <v>862</v>
      </c>
      <c r="M86" s="2"/>
      <c r="N86" s="2"/>
      <c r="O86" s="2" t="s">
        <v>37</v>
      </c>
      <c r="P86" s="2" t="s">
        <v>38</v>
      </c>
      <c r="Q86" s="2"/>
      <c r="R86" s="3" t="n">
        <v>0.96</v>
      </c>
      <c r="S86" s="3" t="n">
        <v>1.2</v>
      </c>
      <c r="T86" s="3" t="n">
        <v>2</v>
      </c>
      <c r="U86" s="2" t="s">
        <v>863</v>
      </c>
      <c r="V86" s="2" t="s">
        <v>40</v>
      </c>
      <c r="W86" s="2" t="s">
        <v>635</v>
      </c>
      <c r="X86" s="4" t="s">
        <v>42</v>
      </c>
      <c r="Y86" s="2" t="n">
        <v>17428777</v>
      </c>
    </row>
    <row r="87" customFormat="false" ht="15" hidden="false" customHeight="false" outlineLevel="0" collapsed="false">
      <c r="A87" s="2" t="s">
        <v>864</v>
      </c>
      <c r="B87" s="2" t="s">
        <v>865</v>
      </c>
      <c r="C87" s="2" t="s">
        <v>866</v>
      </c>
      <c r="D87" s="2" t="s">
        <v>867</v>
      </c>
      <c r="E87" s="2" t="s">
        <v>47</v>
      </c>
      <c r="F87" s="2" t="s">
        <v>30</v>
      </c>
      <c r="G87" s="2" t="s">
        <v>868</v>
      </c>
      <c r="H87" s="2" t="s">
        <v>869</v>
      </c>
      <c r="I87" s="2" t="s">
        <v>870</v>
      </c>
      <c r="J87" s="2" t="s">
        <v>871</v>
      </c>
      <c r="K87" s="2" t="s">
        <v>872</v>
      </c>
      <c r="L87" s="2" t="s">
        <v>873</v>
      </c>
      <c r="M87" s="2"/>
      <c r="N87" s="2"/>
      <c r="O87" s="2" t="s">
        <v>37</v>
      </c>
      <c r="P87" s="2" t="s">
        <v>38</v>
      </c>
      <c r="Q87" s="2"/>
      <c r="R87" s="3" t="n">
        <v>0.88</v>
      </c>
      <c r="S87" s="3" t="n">
        <v>1.2</v>
      </c>
      <c r="T87" s="3" t="n">
        <v>1.9</v>
      </c>
      <c r="U87" s="2" t="s">
        <v>874</v>
      </c>
      <c r="V87" s="2" t="s">
        <v>40</v>
      </c>
      <c r="W87" s="2" t="s">
        <v>635</v>
      </c>
      <c r="X87" s="4" t="s">
        <v>42</v>
      </c>
      <c r="Y87" s="2" t="n">
        <v>17428765</v>
      </c>
    </row>
    <row r="88" customFormat="false" ht="15" hidden="false" customHeight="false" outlineLevel="0" collapsed="false">
      <c r="A88" s="2" t="s">
        <v>875</v>
      </c>
      <c r="B88" s="2" t="s">
        <v>876</v>
      </c>
      <c r="C88" s="2" t="s">
        <v>27</v>
      </c>
      <c r="D88" s="2" t="s">
        <v>877</v>
      </c>
      <c r="E88" s="2" t="s">
        <v>29</v>
      </c>
      <c r="F88" s="2" t="s">
        <v>30</v>
      </c>
      <c r="G88" s="2" t="s">
        <v>878</v>
      </c>
      <c r="H88" s="2" t="s">
        <v>879</v>
      </c>
      <c r="I88" s="2" t="s">
        <v>880</v>
      </c>
      <c r="J88" s="2" t="s">
        <v>881</v>
      </c>
      <c r="K88" s="2" t="s">
        <v>882</v>
      </c>
      <c r="L88" s="2" t="s">
        <v>883</v>
      </c>
      <c r="M88" s="2"/>
      <c r="N88" s="2"/>
      <c r="O88" s="2" t="s">
        <v>37</v>
      </c>
      <c r="P88" s="2" t="s">
        <v>38</v>
      </c>
      <c r="Q88" s="2"/>
      <c r="R88" s="3" t="n">
        <v>0.8</v>
      </c>
      <c r="S88" s="3" t="n">
        <v>1.2</v>
      </c>
      <c r="T88" s="3" t="n">
        <v>1.8</v>
      </c>
      <c r="U88" s="2" t="s">
        <v>884</v>
      </c>
      <c r="V88" s="2" t="s">
        <v>40</v>
      </c>
      <c r="W88" s="2" t="s">
        <v>635</v>
      </c>
      <c r="X88" s="4" t="s">
        <v>42</v>
      </c>
      <c r="Y88" s="2" t="n">
        <v>17428752</v>
      </c>
    </row>
    <row r="89" customFormat="false" ht="15" hidden="false" customHeight="false" outlineLevel="0" collapsed="false">
      <c r="A89" s="2" t="s">
        <v>885</v>
      </c>
      <c r="B89" s="2" t="s">
        <v>886</v>
      </c>
      <c r="C89" s="2" t="s">
        <v>887</v>
      </c>
      <c r="D89" s="2" t="s">
        <v>888</v>
      </c>
      <c r="E89" s="2" t="s">
        <v>47</v>
      </c>
      <c r="F89" s="2" t="s">
        <v>30</v>
      </c>
      <c r="G89" s="2" t="s">
        <v>59</v>
      </c>
      <c r="H89" s="2" t="s">
        <v>889</v>
      </c>
      <c r="I89" s="2" t="s">
        <v>890</v>
      </c>
      <c r="J89" s="2" t="s">
        <v>891</v>
      </c>
      <c r="K89" s="2" t="s">
        <v>892</v>
      </c>
      <c r="L89" s="2" t="s">
        <v>893</v>
      </c>
      <c r="M89" s="2"/>
      <c r="N89" s="2"/>
      <c r="O89" s="2" t="s">
        <v>37</v>
      </c>
      <c r="P89" s="2" t="s">
        <v>38</v>
      </c>
      <c r="Q89" s="2"/>
      <c r="R89" s="3" t="n">
        <v>0.93</v>
      </c>
      <c r="S89" s="3" t="n">
        <v>1.2</v>
      </c>
      <c r="T89" s="3" t="n">
        <v>2</v>
      </c>
      <c r="U89" s="2" t="s">
        <v>894</v>
      </c>
      <c r="V89" s="2" t="s">
        <v>40</v>
      </c>
      <c r="W89" s="2" t="s">
        <v>635</v>
      </c>
      <c r="X89" s="4" t="s">
        <v>42</v>
      </c>
      <c r="Y89" s="2" t="n">
        <v>17428706</v>
      </c>
    </row>
    <row r="90" customFormat="false" ht="15" hidden="false" customHeight="false" outlineLevel="0" collapsed="false">
      <c r="A90" s="2" t="s">
        <v>895</v>
      </c>
      <c r="B90" s="2" t="s">
        <v>896</v>
      </c>
      <c r="C90" s="2" t="s">
        <v>45</v>
      </c>
      <c r="D90" s="2" t="s">
        <v>897</v>
      </c>
      <c r="E90" s="2" t="s">
        <v>103</v>
      </c>
      <c r="F90" s="2" t="s">
        <v>165</v>
      </c>
      <c r="G90" s="2" t="s">
        <v>898</v>
      </c>
      <c r="H90" s="2"/>
      <c r="I90" s="2" t="s">
        <v>899</v>
      </c>
      <c r="J90" s="2" t="s">
        <v>900</v>
      </c>
      <c r="K90" s="2" t="s">
        <v>901</v>
      </c>
      <c r="L90" s="2" t="s">
        <v>53</v>
      </c>
      <c r="M90" s="2"/>
      <c r="N90" s="2"/>
      <c r="O90" s="2" t="s">
        <v>37</v>
      </c>
      <c r="P90" s="2" t="s">
        <v>38</v>
      </c>
      <c r="Q90" s="2"/>
      <c r="R90" s="3" t="n">
        <v>1</v>
      </c>
      <c r="S90" s="3" t="n">
        <v>1.2</v>
      </c>
      <c r="T90" s="3" t="n">
        <v>2.1</v>
      </c>
      <c r="U90" s="2" t="s">
        <v>902</v>
      </c>
      <c r="V90" s="2" t="s">
        <v>40</v>
      </c>
      <c r="W90" s="2" t="s">
        <v>635</v>
      </c>
      <c r="X90" s="4" t="s">
        <v>42</v>
      </c>
      <c r="Y90" s="2" t="n">
        <v>17428688</v>
      </c>
    </row>
    <row r="91" customFormat="false" ht="15" hidden="false" customHeight="false" outlineLevel="0" collapsed="false">
      <c r="A91" s="2" t="s">
        <v>903</v>
      </c>
      <c r="B91" s="2" t="s">
        <v>904</v>
      </c>
      <c r="C91" s="2" t="s">
        <v>905</v>
      </c>
      <c r="D91" s="2" t="s">
        <v>906</v>
      </c>
      <c r="E91" s="2" t="s">
        <v>47</v>
      </c>
      <c r="F91" s="2" t="s">
        <v>30</v>
      </c>
      <c r="G91" s="2" t="s">
        <v>79</v>
      </c>
      <c r="H91" s="2" t="s">
        <v>907</v>
      </c>
      <c r="I91" s="2" t="s">
        <v>908</v>
      </c>
      <c r="J91" s="2" t="s">
        <v>909</v>
      </c>
      <c r="K91" s="2" t="s">
        <v>910</v>
      </c>
      <c r="L91" s="2" t="s">
        <v>678</v>
      </c>
      <c r="M91" s="2"/>
      <c r="N91" s="2"/>
      <c r="O91" s="2" t="s">
        <v>37</v>
      </c>
      <c r="P91" s="2" t="s">
        <v>38</v>
      </c>
      <c r="Q91" s="2"/>
      <c r="R91" s="3" t="n">
        <v>0.9</v>
      </c>
      <c r="S91" s="3" t="n">
        <v>1.2</v>
      </c>
      <c r="T91" s="3" t="n">
        <v>2</v>
      </c>
      <c r="U91" s="2" t="s">
        <v>911</v>
      </c>
      <c r="V91" s="2" t="s">
        <v>40</v>
      </c>
      <c r="W91" s="2" t="s">
        <v>635</v>
      </c>
      <c r="X91" s="4" t="s">
        <v>42</v>
      </c>
      <c r="Y91" s="2" t="n">
        <v>17428667</v>
      </c>
    </row>
    <row r="92" customFormat="false" ht="15" hidden="false" customHeight="false" outlineLevel="0" collapsed="false">
      <c r="A92" s="2" t="s">
        <v>912</v>
      </c>
      <c r="B92" s="2" t="s">
        <v>913</v>
      </c>
      <c r="C92" s="2" t="s">
        <v>367</v>
      </c>
      <c r="D92" s="2" t="s">
        <v>914</v>
      </c>
      <c r="E92" s="2" t="s">
        <v>47</v>
      </c>
      <c r="F92" s="2" t="s">
        <v>48</v>
      </c>
      <c r="G92" s="2" t="s">
        <v>59</v>
      </c>
      <c r="H92" s="2" t="s">
        <v>915</v>
      </c>
      <c r="I92" s="2" t="s">
        <v>916</v>
      </c>
      <c r="J92" s="2" t="s">
        <v>917</v>
      </c>
      <c r="K92" s="2" t="s">
        <v>918</v>
      </c>
      <c r="L92" s="2" t="s">
        <v>919</v>
      </c>
      <c r="M92" s="2"/>
      <c r="N92" s="2"/>
      <c r="O92" s="2" t="s">
        <v>37</v>
      </c>
      <c r="P92" s="2" t="s">
        <v>38</v>
      </c>
      <c r="Q92" s="2"/>
      <c r="R92" s="3" t="n">
        <v>0.89</v>
      </c>
      <c r="S92" s="3" t="n">
        <v>1.2</v>
      </c>
      <c r="T92" s="3" t="n">
        <v>1.9</v>
      </c>
      <c r="U92" s="2" t="s">
        <v>920</v>
      </c>
      <c r="V92" s="2" t="s">
        <v>40</v>
      </c>
      <c r="W92" s="2" t="s">
        <v>635</v>
      </c>
      <c r="X92" s="4" t="s">
        <v>42</v>
      </c>
      <c r="Y92" s="2" t="n">
        <v>17428655</v>
      </c>
    </row>
    <row r="93" customFormat="false" ht="15" hidden="false" customHeight="false" outlineLevel="0" collapsed="false">
      <c r="A93" s="2" t="s">
        <v>921</v>
      </c>
      <c r="B93" s="2" t="s">
        <v>922</v>
      </c>
      <c r="C93" s="2" t="s">
        <v>220</v>
      </c>
      <c r="D93" s="2" t="s">
        <v>923</v>
      </c>
      <c r="E93" s="2" t="s">
        <v>47</v>
      </c>
      <c r="F93" s="2" t="s">
        <v>30</v>
      </c>
      <c r="G93" s="2" t="s">
        <v>878</v>
      </c>
      <c r="H93" s="2" t="s">
        <v>924</v>
      </c>
      <c r="I93" s="2" t="s">
        <v>925</v>
      </c>
      <c r="J93" s="2" t="s">
        <v>926</v>
      </c>
      <c r="K93" s="2" t="s">
        <v>927</v>
      </c>
      <c r="L93" s="2" t="s">
        <v>432</v>
      </c>
      <c r="M93" s="2"/>
      <c r="N93" s="2"/>
      <c r="O93" s="2" t="s">
        <v>37</v>
      </c>
      <c r="P93" s="2" t="s">
        <v>38</v>
      </c>
      <c r="Q93" s="2"/>
      <c r="R93" s="3" t="n">
        <v>0.91</v>
      </c>
      <c r="S93" s="3" t="n">
        <v>1.2</v>
      </c>
      <c r="T93" s="3" t="n">
        <v>2</v>
      </c>
      <c r="U93" s="2" t="s">
        <v>928</v>
      </c>
      <c r="V93" s="2" t="s">
        <v>40</v>
      </c>
      <c r="W93" s="2" t="s">
        <v>635</v>
      </c>
      <c r="X93" s="4" t="s">
        <v>42</v>
      </c>
      <c r="Y93" s="2" t="n">
        <v>17428652</v>
      </c>
    </row>
    <row r="94" customFormat="false" ht="15" hidden="false" customHeight="false" outlineLevel="0" collapsed="false">
      <c r="A94" s="2" t="s">
        <v>929</v>
      </c>
      <c r="B94" s="2" t="s">
        <v>930</v>
      </c>
      <c r="C94" s="2" t="s">
        <v>133</v>
      </c>
      <c r="D94" s="2" t="s">
        <v>931</v>
      </c>
      <c r="E94" s="2" t="s">
        <v>47</v>
      </c>
      <c r="F94" s="2" t="s">
        <v>30</v>
      </c>
      <c r="G94" s="2" t="s">
        <v>437</v>
      </c>
      <c r="H94" s="2" t="s">
        <v>932</v>
      </c>
      <c r="I94" s="2" t="s">
        <v>933</v>
      </c>
      <c r="J94" s="2" t="s">
        <v>934</v>
      </c>
      <c r="K94" s="2" t="s">
        <v>935</v>
      </c>
      <c r="L94" s="2" t="s">
        <v>936</v>
      </c>
      <c r="M94" s="2"/>
      <c r="N94" s="2"/>
      <c r="O94" s="2" t="s">
        <v>37</v>
      </c>
      <c r="P94" s="2" t="s">
        <v>38</v>
      </c>
      <c r="Q94" s="2"/>
      <c r="R94" s="3" t="n">
        <v>0.96</v>
      </c>
      <c r="S94" s="3" t="n">
        <v>1.2</v>
      </c>
      <c r="T94" s="3" t="n">
        <v>2</v>
      </c>
      <c r="U94" s="2" t="s">
        <v>937</v>
      </c>
      <c r="V94" s="2" t="s">
        <v>40</v>
      </c>
      <c r="W94" s="2" t="s">
        <v>635</v>
      </c>
      <c r="X94" s="4" t="s">
        <v>42</v>
      </c>
      <c r="Y94" s="2" t="n">
        <v>17428649</v>
      </c>
    </row>
    <row r="95" customFormat="false" ht="15" hidden="false" customHeight="false" outlineLevel="0" collapsed="false">
      <c r="A95" s="2" t="s">
        <v>938</v>
      </c>
      <c r="B95" s="2" t="s">
        <v>939</v>
      </c>
      <c r="C95" s="2" t="s">
        <v>27</v>
      </c>
      <c r="D95" s="2" t="s">
        <v>940</v>
      </c>
      <c r="E95" s="2" t="s">
        <v>47</v>
      </c>
      <c r="F95" s="2" t="s">
        <v>48</v>
      </c>
      <c r="G95" s="2" t="s">
        <v>79</v>
      </c>
      <c r="H95" s="2" t="s">
        <v>941</v>
      </c>
      <c r="I95" s="2" t="s">
        <v>942</v>
      </c>
      <c r="J95" s="2" t="s">
        <v>943</v>
      </c>
      <c r="K95" s="2" t="s">
        <v>944</v>
      </c>
      <c r="L95" s="2" t="s">
        <v>945</v>
      </c>
      <c r="M95" s="2"/>
      <c r="N95" s="2"/>
      <c r="O95" s="2" t="s">
        <v>37</v>
      </c>
      <c r="P95" s="2" t="s">
        <v>38</v>
      </c>
      <c r="Q95" s="2"/>
      <c r="R95" s="3" t="n">
        <v>0.87</v>
      </c>
      <c r="S95" s="3" t="n">
        <v>1.2</v>
      </c>
      <c r="T95" s="3" t="n">
        <v>1.9</v>
      </c>
      <c r="U95" s="2" t="s">
        <v>946</v>
      </c>
      <c r="V95" s="2" t="s">
        <v>40</v>
      </c>
      <c r="W95" s="2" t="s">
        <v>635</v>
      </c>
      <c r="X95" s="4" t="s">
        <v>42</v>
      </c>
      <c r="Y95" s="2" t="n">
        <v>17428636</v>
      </c>
    </row>
    <row r="96" customFormat="false" ht="15" hidden="false" customHeight="false" outlineLevel="0" collapsed="false">
      <c r="A96" s="2" t="s">
        <v>947</v>
      </c>
      <c r="B96" s="2" t="s">
        <v>948</v>
      </c>
      <c r="C96" s="2" t="s">
        <v>27</v>
      </c>
      <c r="D96" s="2" t="s">
        <v>949</v>
      </c>
      <c r="E96" s="2" t="s">
        <v>47</v>
      </c>
      <c r="F96" s="2" t="s">
        <v>48</v>
      </c>
      <c r="G96" s="2" t="s">
        <v>950</v>
      </c>
      <c r="H96" s="2"/>
      <c r="I96" s="2" t="s">
        <v>951</v>
      </c>
      <c r="J96" s="2" t="s">
        <v>952</v>
      </c>
      <c r="K96" s="2" t="s">
        <v>953</v>
      </c>
      <c r="L96" s="2" t="s">
        <v>954</v>
      </c>
      <c r="M96" s="2"/>
      <c r="N96" s="2"/>
      <c r="O96" s="2" t="s">
        <v>37</v>
      </c>
      <c r="P96" s="2" t="s">
        <v>38</v>
      </c>
      <c r="Q96" s="2"/>
      <c r="R96" s="3" t="n">
        <v>0.96</v>
      </c>
      <c r="S96" s="3" t="n">
        <v>1.2</v>
      </c>
      <c r="T96" s="3" t="n">
        <v>2</v>
      </c>
      <c r="U96" s="2" t="s">
        <v>955</v>
      </c>
      <c r="V96" s="2" t="s">
        <v>40</v>
      </c>
      <c r="W96" s="2" t="s">
        <v>635</v>
      </c>
      <c r="X96" s="4" t="s">
        <v>42</v>
      </c>
      <c r="Y96" s="2" t="n">
        <v>17428620</v>
      </c>
    </row>
    <row r="97" customFormat="false" ht="15" hidden="false" customHeight="false" outlineLevel="0" collapsed="false">
      <c r="A97" s="2" t="s">
        <v>956</v>
      </c>
      <c r="B97" s="2" t="s">
        <v>957</v>
      </c>
      <c r="C97" s="2" t="s">
        <v>27</v>
      </c>
      <c r="D97" s="2" t="s">
        <v>958</v>
      </c>
      <c r="E97" s="2" t="s">
        <v>47</v>
      </c>
      <c r="F97" s="2" t="s">
        <v>48</v>
      </c>
      <c r="G97" s="2" t="s">
        <v>959</v>
      </c>
      <c r="H97" s="2" t="s">
        <v>960</v>
      </c>
      <c r="I97" s="2" t="s">
        <v>961</v>
      </c>
      <c r="J97" s="2" t="s">
        <v>962</v>
      </c>
      <c r="K97" s="2" t="s">
        <v>963</v>
      </c>
      <c r="L97" s="2" t="s">
        <v>873</v>
      </c>
      <c r="M97" s="2"/>
      <c r="N97" s="2"/>
      <c r="O97" s="2" t="s">
        <v>37</v>
      </c>
      <c r="P97" s="2" t="s">
        <v>38</v>
      </c>
      <c r="Q97" s="2"/>
      <c r="R97" s="3" t="n">
        <v>0.9</v>
      </c>
      <c r="S97" s="3" t="n">
        <v>1.2</v>
      </c>
      <c r="T97" s="3" t="n">
        <v>2</v>
      </c>
      <c r="U97" s="2" t="s">
        <v>964</v>
      </c>
      <c r="V97" s="2" t="s">
        <v>40</v>
      </c>
      <c r="W97" s="2" t="s">
        <v>635</v>
      </c>
      <c r="X97" s="4" t="s">
        <v>42</v>
      </c>
      <c r="Y97" s="2" t="n">
        <v>17428573</v>
      </c>
    </row>
    <row r="98" customFormat="false" ht="15" hidden="false" customHeight="false" outlineLevel="0" collapsed="false">
      <c r="A98" s="2" t="s">
        <v>965</v>
      </c>
      <c r="B98" s="2" t="s">
        <v>966</v>
      </c>
      <c r="C98" s="2" t="s">
        <v>339</v>
      </c>
      <c r="D98" s="2" t="s">
        <v>967</v>
      </c>
      <c r="E98" s="2" t="s">
        <v>47</v>
      </c>
      <c r="F98" s="2" t="s">
        <v>48</v>
      </c>
      <c r="G98" s="2" t="s">
        <v>666</v>
      </c>
      <c r="H98" s="2"/>
      <c r="I98" s="2" t="s">
        <v>968</v>
      </c>
      <c r="J98" s="2" t="s">
        <v>969</v>
      </c>
      <c r="K98" s="2" t="s">
        <v>970</v>
      </c>
      <c r="L98" s="2" t="s">
        <v>971</v>
      </c>
      <c r="M98" s="2"/>
      <c r="N98" s="2"/>
      <c r="O98" s="2" t="s">
        <v>37</v>
      </c>
      <c r="P98" s="2" t="s">
        <v>38</v>
      </c>
      <c r="Q98" s="2"/>
      <c r="R98" s="3" t="n">
        <v>0.85</v>
      </c>
      <c r="S98" s="3" t="n">
        <v>1.2</v>
      </c>
      <c r="T98" s="3" t="n">
        <v>1.9</v>
      </c>
      <c r="U98" s="2" t="s">
        <v>972</v>
      </c>
      <c r="V98" s="2" t="s">
        <v>40</v>
      </c>
      <c r="W98" s="2" t="s">
        <v>635</v>
      </c>
      <c r="X98" s="4" t="s">
        <v>42</v>
      </c>
      <c r="Y98" s="2" t="n">
        <v>17428570</v>
      </c>
    </row>
    <row r="99" customFormat="false" ht="15" hidden="false" customHeight="false" outlineLevel="0" collapsed="false">
      <c r="A99" s="2" t="s">
        <v>973</v>
      </c>
      <c r="B99" s="2" t="s">
        <v>974</v>
      </c>
      <c r="C99" s="2" t="s">
        <v>27</v>
      </c>
      <c r="D99" s="2" t="s">
        <v>975</v>
      </c>
      <c r="E99" s="2" t="s">
        <v>47</v>
      </c>
      <c r="F99" s="2" t="s">
        <v>30</v>
      </c>
      <c r="G99" s="2" t="s">
        <v>59</v>
      </c>
      <c r="H99" s="2"/>
      <c r="I99" s="2" t="s">
        <v>976</v>
      </c>
      <c r="J99" s="2" t="s">
        <v>977</v>
      </c>
      <c r="K99" s="2" t="s">
        <v>978</v>
      </c>
      <c r="L99" s="2" t="s">
        <v>979</v>
      </c>
      <c r="M99" s="2"/>
      <c r="N99" s="2"/>
      <c r="O99" s="2" t="s">
        <v>37</v>
      </c>
      <c r="P99" s="2" t="s">
        <v>38</v>
      </c>
      <c r="Q99" s="2"/>
      <c r="R99" s="3" t="n">
        <v>1</v>
      </c>
      <c r="S99" s="3" t="n">
        <v>1.2</v>
      </c>
      <c r="T99" s="3" t="n">
        <v>2.1</v>
      </c>
      <c r="U99" s="2" t="s">
        <v>980</v>
      </c>
      <c r="V99" s="2" t="s">
        <v>40</v>
      </c>
      <c r="W99" s="2" t="s">
        <v>635</v>
      </c>
      <c r="X99" s="4" t="s">
        <v>42</v>
      </c>
      <c r="Y99" s="2" t="n">
        <v>17428553</v>
      </c>
    </row>
    <row r="100" customFormat="false" ht="15" hidden="false" customHeight="false" outlineLevel="0" collapsed="false">
      <c r="A100" s="2" t="s">
        <v>981</v>
      </c>
      <c r="B100" s="2" t="s">
        <v>982</v>
      </c>
      <c r="C100" s="2" t="s">
        <v>983</v>
      </c>
      <c r="D100" s="2" t="s">
        <v>984</v>
      </c>
      <c r="E100" s="2" t="s">
        <v>255</v>
      </c>
      <c r="F100" s="2" t="s">
        <v>48</v>
      </c>
      <c r="G100" s="2" t="s">
        <v>985</v>
      </c>
      <c r="H100" s="2" t="s">
        <v>986</v>
      </c>
      <c r="I100" s="2" t="s">
        <v>987</v>
      </c>
      <c r="J100" s="2" t="s">
        <v>988</v>
      </c>
      <c r="K100" s="2" t="s">
        <v>989</v>
      </c>
      <c r="L100" s="2" t="s">
        <v>421</v>
      </c>
      <c r="M100" s="2"/>
      <c r="N100" s="2"/>
      <c r="O100" s="2" t="s">
        <v>37</v>
      </c>
      <c r="P100" s="2" t="s">
        <v>38</v>
      </c>
      <c r="Q100" s="2"/>
      <c r="R100" s="3" t="n">
        <v>1</v>
      </c>
      <c r="S100" s="3" t="n">
        <v>1.2</v>
      </c>
      <c r="T100" s="3" t="n">
        <v>2.1</v>
      </c>
      <c r="U100" s="2" t="s">
        <v>990</v>
      </c>
      <c r="V100" s="2" t="s">
        <v>40</v>
      </c>
      <c r="W100" s="2" t="s">
        <v>635</v>
      </c>
      <c r="X100" s="4" t="s">
        <v>42</v>
      </c>
      <c r="Y100" s="2" t="n">
        <v>17428522</v>
      </c>
    </row>
    <row r="101" customFormat="false" ht="15" hidden="false" customHeight="false" outlineLevel="0" collapsed="false">
      <c r="A101" s="2" t="s">
        <v>991</v>
      </c>
      <c r="B101" s="2" t="s">
        <v>992</v>
      </c>
      <c r="C101" s="2" t="s">
        <v>993</v>
      </c>
      <c r="D101" s="2" t="s">
        <v>992</v>
      </c>
      <c r="E101" s="2" t="s">
        <v>90</v>
      </c>
      <c r="F101" s="2" t="s">
        <v>30</v>
      </c>
      <c r="G101" s="2" t="s">
        <v>155</v>
      </c>
      <c r="H101" s="2" t="s">
        <v>994</v>
      </c>
      <c r="I101" s="2" t="s">
        <v>995</v>
      </c>
      <c r="J101" s="2" t="s">
        <v>996</v>
      </c>
      <c r="K101" s="2" t="s">
        <v>997</v>
      </c>
      <c r="L101" s="2" t="s">
        <v>998</v>
      </c>
      <c r="M101" s="2"/>
      <c r="N101" s="2"/>
      <c r="O101" s="2" t="s">
        <v>37</v>
      </c>
      <c r="P101" s="2" t="s">
        <v>38</v>
      </c>
      <c r="Q101" s="2"/>
      <c r="R101" s="3" t="n">
        <v>0.95</v>
      </c>
      <c r="S101" s="3" t="n">
        <v>1.2</v>
      </c>
      <c r="T101" s="3" t="n">
        <v>2</v>
      </c>
      <c r="U101" s="2" t="s">
        <v>999</v>
      </c>
      <c r="V101" s="2" t="s">
        <v>40</v>
      </c>
      <c r="W101" s="2" t="s">
        <v>635</v>
      </c>
      <c r="X101" s="4" t="s">
        <v>42</v>
      </c>
      <c r="Y101" s="2" t="n">
        <v>17428520</v>
      </c>
    </row>
    <row r="102" customFormat="false" ht="15" hidden="false" customHeight="false" outlineLevel="0" collapsed="false">
      <c r="A102" s="2" t="s">
        <v>1000</v>
      </c>
      <c r="B102" s="2" t="s">
        <v>1001</v>
      </c>
      <c r="C102" s="2" t="s">
        <v>1002</v>
      </c>
      <c r="D102" s="2" t="s">
        <v>1003</v>
      </c>
      <c r="E102" s="2" t="s">
        <v>47</v>
      </c>
      <c r="F102" s="2" t="s">
        <v>48</v>
      </c>
      <c r="G102" s="2" t="s">
        <v>1004</v>
      </c>
      <c r="H102" s="2" t="s">
        <v>1005</v>
      </c>
      <c r="I102" s="2" t="s">
        <v>1006</v>
      </c>
      <c r="J102" s="2" t="s">
        <v>1007</v>
      </c>
      <c r="K102" s="2" t="s">
        <v>1008</v>
      </c>
      <c r="L102" s="2" t="s">
        <v>227</v>
      </c>
      <c r="M102" s="2"/>
      <c r="N102" s="2"/>
      <c r="O102" s="2" t="s">
        <v>37</v>
      </c>
      <c r="P102" s="2" t="s">
        <v>38</v>
      </c>
      <c r="Q102" s="2"/>
      <c r="R102" s="3" t="n">
        <v>0.92</v>
      </c>
      <c r="S102" s="3" t="n">
        <v>1.2</v>
      </c>
      <c r="T102" s="3" t="n">
        <v>2</v>
      </c>
      <c r="U102" s="2" t="s">
        <v>1009</v>
      </c>
      <c r="V102" s="2" t="s">
        <v>40</v>
      </c>
      <c r="W102" s="2" t="s">
        <v>635</v>
      </c>
      <c r="X102" s="4" t="s">
        <v>42</v>
      </c>
      <c r="Y102" s="2" t="n">
        <v>17428517</v>
      </c>
    </row>
    <row r="103" customFormat="false" ht="15" hidden="false" customHeight="false" outlineLevel="0" collapsed="false">
      <c r="A103" s="2" t="s">
        <v>1010</v>
      </c>
      <c r="B103" s="2" t="s">
        <v>1011</v>
      </c>
      <c r="C103" s="2" t="s">
        <v>45</v>
      </c>
      <c r="D103" s="2" t="s">
        <v>1012</v>
      </c>
      <c r="E103" s="2" t="s">
        <v>244</v>
      </c>
      <c r="F103" s="2" t="s">
        <v>165</v>
      </c>
      <c r="G103" s="2" t="s">
        <v>416</v>
      </c>
      <c r="H103" s="2" t="s">
        <v>1013</v>
      </c>
      <c r="I103" s="2" t="s">
        <v>1014</v>
      </c>
      <c r="J103" s="2" t="s">
        <v>1015</v>
      </c>
      <c r="K103" s="2" t="s">
        <v>1016</v>
      </c>
      <c r="L103" s="2" t="s">
        <v>1017</v>
      </c>
      <c r="M103" s="2"/>
      <c r="N103" s="2"/>
      <c r="O103" s="2" t="s">
        <v>37</v>
      </c>
      <c r="P103" s="2" t="s">
        <v>38</v>
      </c>
      <c r="Q103" s="2"/>
      <c r="R103" s="3" t="n">
        <v>1</v>
      </c>
      <c r="S103" s="3" t="n">
        <v>1.2</v>
      </c>
      <c r="T103" s="3" t="n">
        <v>2.1</v>
      </c>
      <c r="U103" s="2" t="s">
        <v>1018</v>
      </c>
      <c r="V103" s="2" t="s">
        <v>40</v>
      </c>
      <c r="W103" s="2" t="s">
        <v>635</v>
      </c>
      <c r="X103" s="4" t="s">
        <v>42</v>
      </c>
      <c r="Y103" s="2" t="n">
        <v>17428513</v>
      </c>
    </row>
    <row r="104" customFormat="false" ht="15" hidden="false" customHeight="false" outlineLevel="0" collapsed="false">
      <c r="A104" s="2" t="s">
        <v>376</v>
      </c>
      <c r="B104" s="2" t="s">
        <v>1019</v>
      </c>
      <c r="C104" s="2" t="s">
        <v>45</v>
      </c>
      <c r="D104" s="2" t="s">
        <v>1020</v>
      </c>
      <c r="E104" s="2" t="s">
        <v>103</v>
      </c>
      <c r="F104" s="2" t="s">
        <v>30</v>
      </c>
      <c r="G104" s="2" t="s">
        <v>1021</v>
      </c>
      <c r="H104" s="2" t="s">
        <v>1022</v>
      </c>
      <c r="I104" s="2" t="s">
        <v>1023</v>
      </c>
      <c r="J104" s="2" t="s">
        <v>1024</v>
      </c>
      <c r="K104" s="2" t="s">
        <v>1025</v>
      </c>
      <c r="L104" s="2" t="s">
        <v>1026</v>
      </c>
      <c r="M104" s="2"/>
      <c r="N104" s="2"/>
      <c r="O104" s="2" t="s">
        <v>37</v>
      </c>
      <c r="P104" s="2" t="s">
        <v>38</v>
      </c>
      <c r="Q104" s="2"/>
      <c r="R104" s="3" t="n">
        <v>1</v>
      </c>
      <c r="S104" s="3" t="n">
        <v>1.2</v>
      </c>
      <c r="T104" s="3" t="n">
        <v>2.1</v>
      </c>
      <c r="U104" s="2" t="s">
        <v>1027</v>
      </c>
      <c r="V104" s="2" t="s">
        <v>40</v>
      </c>
      <c r="W104" s="2" t="s">
        <v>635</v>
      </c>
      <c r="X104" s="4" t="s">
        <v>42</v>
      </c>
      <c r="Y104" s="2" t="n">
        <v>17428502</v>
      </c>
    </row>
    <row r="105" customFormat="false" ht="15" hidden="false" customHeight="false" outlineLevel="0" collapsed="false">
      <c r="A105" s="2" t="s">
        <v>1028</v>
      </c>
      <c r="B105" s="2" t="s">
        <v>1029</v>
      </c>
      <c r="C105" s="2" t="s">
        <v>1030</v>
      </c>
      <c r="D105" s="2" t="s">
        <v>1031</v>
      </c>
      <c r="E105" s="2" t="s">
        <v>103</v>
      </c>
      <c r="F105" s="2" t="s">
        <v>30</v>
      </c>
      <c r="G105" s="2" t="s">
        <v>1032</v>
      </c>
      <c r="H105" s="2" t="s">
        <v>1033</v>
      </c>
      <c r="I105" s="2" t="s">
        <v>1034</v>
      </c>
      <c r="J105" s="2" t="s">
        <v>1035</v>
      </c>
      <c r="K105" s="2" t="s">
        <v>1036</v>
      </c>
      <c r="L105" s="2" t="s">
        <v>1037</v>
      </c>
      <c r="M105" s="2"/>
      <c r="N105" s="2"/>
      <c r="O105" s="2" t="s">
        <v>37</v>
      </c>
      <c r="P105" s="2" t="s">
        <v>38</v>
      </c>
      <c r="Q105" s="2"/>
      <c r="R105" s="3" t="n">
        <v>0.96</v>
      </c>
      <c r="S105" s="3" t="n">
        <v>1.2</v>
      </c>
      <c r="T105" s="3" t="n">
        <v>2</v>
      </c>
      <c r="U105" s="2" t="s">
        <v>1038</v>
      </c>
      <c r="V105" s="2" t="s">
        <v>40</v>
      </c>
      <c r="W105" s="2" t="s">
        <v>635</v>
      </c>
      <c r="X105" s="4" t="s">
        <v>42</v>
      </c>
      <c r="Y105" s="2" t="n">
        <v>17428471</v>
      </c>
    </row>
    <row r="106" customFormat="false" ht="15" hidden="false" customHeight="false" outlineLevel="0" collapsed="false">
      <c r="A106" s="2" t="s">
        <v>1039</v>
      </c>
      <c r="B106" s="2" t="s">
        <v>1040</v>
      </c>
      <c r="C106" s="2" t="s">
        <v>27</v>
      </c>
      <c r="D106" s="2" t="s">
        <v>1041</v>
      </c>
      <c r="E106" s="2" t="s">
        <v>47</v>
      </c>
      <c r="F106" s="2" t="s">
        <v>30</v>
      </c>
      <c r="G106" s="2" t="s">
        <v>437</v>
      </c>
      <c r="H106" s="2"/>
      <c r="I106" s="2" t="s">
        <v>1042</v>
      </c>
      <c r="J106" s="2" t="s">
        <v>1043</v>
      </c>
      <c r="K106" s="2" t="s">
        <v>1044</v>
      </c>
      <c r="L106" s="2" t="s">
        <v>1045</v>
      </c>
      <c r="M106" s="2"/>
      <c r="N106" s="2"/>
      <c r="O106" s="2" t="s">
        <v>37</v>
      </c>
      <c r="P106" s="2" t="s">
        <v>38</v>
      </c>
      <c r="Q106" s="2"/>
      <c r="R106" s="3" t="n">
        <v>0.87</v>
      </c>
      <c r="S106" s="3" t="n">
        <v>1.2</v>
      </c>
      <c r="T106" s="3" t="n">
        <v>1.9</v>
      </c>
      <c r="U106" s="2" t="s">
        <v>1046</v>
      </c>
      <c r="V106" s="2" t="s">
        <v>40</v>
      </c>
      <c r="W106" s="2" t="s">
        <v>635</v>
      </c>
      <c r="X106" s="4" t="s">
        <v>42</v>
      </c>
      <c r="Y106" s="2" t="n">
        <v>17428465</v>
      </c>
    </row>
    <row r="107" customFormat="false" ht="15" hidden="false" customHeight="false" outlineLevel="0" collapsed="false">
      <c r="A107" s="2" t="s">
        <v>182</v>
      </c>
      <c r="B107" s="2" t="s">
        <v>1047</v>
      </c>
      <c r="C107" s="2" t="s">
        <v>1048</v>
      </c>
      <c r="D107" s="2" t="s">
        <v>1049</v>
      </c>
      <c r="E107" s="2" t="s">
        <v>255</v>
      </c>
      <c r="F107" s="2" t="s">
        <v>30</v>
      </c>
      <c r="G107" s="2" t="s">
        <v>399</v>
      </c>
      <c r="H107" s="2" t="s">
        <v>1050</v>
      </c>
      <c r="I107" s="2" t="s">
        <v>1051</v>
      </c>
      <c r="J107" s="2" t="s">
        <v>1052</v>
      </c>
      <c r="K107" s="2" t="s">
        <v>1053</v>
      </c>
      <c r="L107" s="2" t="s">
        <v>1054</v>
      </c>
      <c r="M107" s="2"/>
      <c r="N107" s="2"/>
      <c r="O107" s="2" t="s">
        <v>37</v>
      </c>
      <c r="P107" s="2" t="s">
        <v>38</v>
      </c>
      <c r="Q107" s="2"/>
      <c r="R107" s="3" t="n">
        <v>0.96</v>
      </c>
      <c r="S107" s="3" t="n">
        <v>1.2</v>
      </c>
      <c r="T107" s="3" t="n">
        <v>2</v>
      </c>
      <c r="U107" s="2" t="s">
        <v>1055</v>
      </c>
      <c r="V107" s="2" t="s">
        <v>40</v>
      </c>
      <c r="W107" s="2" t="s">
        <v>635</v>
      </c>
      <c r="X107" s="4" t="s">
        <v>42</v>
      </c>
      <c r="Y107" s="2" t="n">
        <v>17428433</v>
      </c>
    </row>
    <row r="108" customFormat="false" ht="15" hidden="false" customHeight="false" outlineLevel="0" collapsed="false">
      <c r="A108" s="2" t="s">
        <v>1056</v>
      </c>
      <c r="B108" s="2" t="s">
        <v>1057</v>
      </c>
      <c r="C108" s="2" t="s">
        <v>27</v>
      </c>
      <c r="D108" s="2" t="s">
        <v>1058</v>
      </c>
      <c r="E108" s="2" t="s">
        <v>47</v>
      </c>
      <c r="F108" s="2" t="s">
        <v>48</v>
      </c>
      <c r="G108" s="2" t="s">
        <v>1059</v>
      </c>
      <c r="H108" s="2" t="s">
        <v>1060</v>
      </c>
      <c r="I108" s="2" t="s">
        <v>1061</v>
      </c>
      <c r="J108" s="2" t="s">
        <v>1062</v>
      </c>
      <c r="K108" s="2" t="s">
        <v>1063</v>
      </c>
      <c r="L108" s="2" t="s">
        <v>150</v>
      </c>
      <c r="M108" s="2"/>
      <c r="N108" s="2"/>
      <c r="O108" s="2" t="s">
        <v>37</v>
      </c>
      <c r="P108" s="2" t="s">
        <v>38</v>
      </c>
      <c r="Q108" s="2"/>
      <c r="R108" s="3" t="n">
        <v>0.9</v>
      </c>
      <c r="S108" s="3" t="n">
        <v>1.2</v>
      </c>
      <c r="T108" s="3" t="n">
        <v>2</v>
      </c>
      <c r="U108" s="2" t="s">
        <v>1064</v>
      </c>
      <c r="V108" s="2" t="s">
        <v>40</v>
      </c>
      <c r="W108" s="2" t="s">
        <v>635</v>
      </c>
      <c r="X108" s="4" t="s">
        <v>42</v>
      </c>
      <c r="Y108" s="2" t="n">
        <v>17428429</v>
      </c>
    </row>
    <row r="109" customFormat="false" ht="15" hidden="false" customHeight="false" outlineLevel="0" collapsed="false">
      <c r="A109" s="2" t="s">
        <v>680</v>
      </c>
      <c r="B109" s="2" t="s">
        <v>1065</v>
      </c>
      <c r="C109" s="2" t="s">
        <v>598</v>
      </c>
      <c r="D109" s="2" t="s">
        <v>1066</v>
      </c>
      <c r="E109" s="2" t="s">
        <v>58</v>
      </c>
      <c r="F109" s="2" t="s">
        <v>48</v>
      </c>
      <c r="G109" s="2" t="s">
        <v>330</v>
      </c>
      <c r="H109" s="2"/>
      <c r="I109" s="2" t="s">
        <v>1067</v>
      </c>
      <c r="J109" s="2" t="s">
        <v>1068</v>
      </c>
      <c r="K109" s="2" t="s">
        <v>1069</v>
      </c>
      <c r="L109" s="2" t="s">
        <v>1070</v>
      </c>
      <c r="M109" s="2"/>
      <c r="N109" s="2"/>
      <c r="O109" s="2" t="s">
        <v>37</v>
      </c>
      <c r="P109" s="2" t="s">
        <v>38</v>
      </c>
      <c r="Q109" s="2"/>
      <c r="R109" s="3" t="n">
        <v>1</v>
      </c>
      <c r="S109" s="3" t="n">
        <v>1.2</v>
      </c>
      <c r="T109" s="3" t="n">
        <v>2.1</v>
      </c>
      <c r="U109" s="2" t="s">
        <v>1071</v>
      </c>
      <c r="V109" s="2" t="s">
        <v>40</v>
      </c>
      <c r="W109" s="2" t="s">
        <v>635</v>
      </c>
      <c r="X109" s="4" t="s">
        <v>42</v>
      </c>
      <c r="Y109" s="2" t="n">
        <v>17428416</v>
      </c>
    </row>
    <row r="110" customFormat="false" ht="15" hidden="false" customHeight="false" outlineLevel="0" collapsed="false">
      <c r="A110" s="2" t="s">
        <v>991</v>
      </c>
      <c r="B110" s="2" t="s">
        <v>1072</v>
      </c>
      <c r="C110" s="2" t="s">
        <v>1073</v>
      </c>
      <c r="D110" s="2" t="s">
        <v>1074</v>
      </c>
      <c r="E110" s="2" t="s">
        <v>47</v>
      </c>
      <c r="F110" s="2" t="s">
        <v>48</v>
      </c>
      <c r="G110" s="2" t="s">
        <v>349</v>
      </c>
      <c r="H110" s="2" t="s">
        <v>1075</v>
      </c>
      <c r="I110" s="2" t="s">
        <v>1076</v>
      </c>
      <c r="J110" s="2" t="s">
        <v>1077</v>
      </c>
      <c r="K110" s="2" t="s">
        <v>1078</v>
      </c>
      <c r="L110" s="2" t="s">
        <v>1079</v>
      </c>
      <c r="M110" s="2"/>
      <c r="N110" s="2"/>
      <c r="O110" s="2" t="s">
        <v>37</v>
      </c>
      <c r="P110" s="2" t="s">
        <v>38</v>
      </c>
      <c r="Q110" s="2"/>
      <c r="R110" s="3" t="n">
        <v>0.92</v>
      </c>
      <c r="S110" s="3" t="n">
        <v>1.2</v>
      </c>
      <c r="T110" s="3" t="n">
        <v>2</v>
      </c>
      <c r="U110" s="2" t="s">
        <v>1080</v>
      </c>
      <c r="V110" s="2" t="s">
        <v>40</v>
      </c>
      <c r="W110" s="2" t="s">
        <v>635</v>
      </c>
      <c r="X110" s="4" t="s">
        <v>42</v>
      </c>
      <c r="Y110" s="2" t="n">
        <v>17428412</v>
      </c>
    </row>
    <row r="111" customFormat="false" ht="15" hidden="false" customHeight="false" outlineLevel="0" collapsed="false">
      <c r="A111" s="2" t="s">
        <v>1081</v>
      </c>
      <c r="B111" s="2" t="s">
        <v>1082</v>
      </c>
      <c r="C111" s="2" t="s">
        <v>598</v>
      </c>
      <c r="D111" s="2" t="s">
        <v>1083</v>
      </c>
      <c r="E111" s="2" t="s">
        <v>103</v>
      </c>
      <c r="F111" s="2" t="s">
        <v>165</v>
      </c>
      <c r="G111" s="2" t="s">
        <v>836</v>
      </c>
      <c r="H111" s="2" t="s">
        <v>1084</v>
      </c>
      <c r="I111" s="2" t="s">
        <v>1085</v>
      </c>
      <c r="J111" s="2" t="s">
        <v>1086</v>
      </c>
      <c r="K111" s="2" t="s">
        <v>1087</v>
      </c>
      <c r="L111" s="2" t="s">
        <v>1088</v>
      </c>
      <c r="M111" s="2"/>
      <c r="N111" s="2"/>
      <c r="O111" s="2" t="s">
        <v>37</v>
      </c>
      <c r="P111" s="2" t="s">
        <v>38</v>
      </c>
      <c r="Q111" s="2"/>
      <c r="R111" s="3" t="n">
        <v>1</v>
      </c>
      <c r="S111" s="3" t="n">
        <v>1.2</v>
      </c>
      <c r="T111" s="3" t="n">
        <v>2.1</v>
      </c>
      <c r="U111" s="2" t="s">
        <v>1089</v>
      </c>
      <c r="V111" s="2" t="s">
        <v>40</v>
      </c>
      <c r="W111" s="2" t="s">
        <v>635</v>
      </c>
      <c r="X111" s="4" t="s">
        <v>42</v>
      </c>
      <c r="Y111" s="2" t="n">
        <v>17428400</v>
      </c>
    </row>
    <row r="112" customFormat="false" ht="15" hidden="false" customHeight="false" outlineLevel="0" collapsed="false">
      <c r="A112" s="2" t="s">
        <v>1090</v>
      </c>
      <c r="B112" s="2" t="s">
        <v>1091</v>
      </c>
      <c r="C112" s="2" t="s">
        <v>1092</v>
      </c>
      <c r="D112" s="2" t="s">
        <v>1093</v>
      </c>
      <c r="E112" s="2" t="s">
        <v>90</v>
      </c>
      <c r="F112" s="2" t="s">
        <v>30</v>
      </c>
      <c r="G112" s="2" t="s">
        <v>878</v>
      </c>
      <c r="H112" s="2" t="s">
        <v>1094</v>
      </c>
      <c r="I112" s="2" t="s">
        <v>1095</v>
      </c>
      <c r="J112" s="2" t="s">
        <v>1096</v>
      </c>
      <c r="K112" s="2" t="s">
        <v>1097</v>
      </c>
      <c r="L112" s="2" t="s">
        <v>1098</v>
      </c>
      <c r="M112" s="2"/>
      <c r="N112" s="2"/>
      <c r="O112" s="2" t="s">
        <v>37</v>
      </c>
      <c r="P112" s="2" t="s">
        <v>38</v>
      </c>
      <c r="Q112" s="2"/>
      <c r="R112" s="3" t="n">
        <v>0.96</v>
      </c>
      <c r="S112" s="3" t="n">
        <v>1.2</v>
      </c>
      <c r="T112" s="3" t="n">
        <v>2</v>
      </c>
      <c r="U112" s="2" t="s">
        <v>1099</v>
      </c>
      <c r="V112" s="2" t="s">
        <v>40</v>
      </c>
      <c r="W112" s="2" t="s">
        <v>635</v>
      </c>
      <c r="X112" s="4" t="s">
        <v>42</v>
      </c>
      <c r="Y112" s="2" t="n">
        <v>17428395</v>
      </c>
    </row>
    <row r="113" customFormat="false" ht="15" hidden="false" customHeight="false" outlineLevel="0" collapsed="false">
      <c r="A113" s="2" t="s">
        <v>1100</v>
      </c>
      <c r="B113" s="2" t="s">
        <v>1101</v>
      </c>
      <c r="C113" s="2" t="s">
        <v>45</v>
      </c>
      <c r="D113" s="2" t="s">
        <v>1102</v>
      </c>
      <c r="E113" s="2" t="s">
        <v>255</v>
      </c>
      <c r="F113" s="2" t="s">
        <v>30</v>
      </c>
      <c r="G113" s="2" t="s">
        <v>287</v>
      </c>
      <c r="H113" s="2"/>
      <c r="I113" s="2" t="s">
        <v>1103</v>
      </c>
      <c r="J113" s="2" t="s">
        <v>1104</v>
      </c>
      <c r="K113" s="2" t="s">
        <v>1105</v>
      </c>
      <c r="L113" s="2" t="s">
        <v>1106</v>
      </c>
      <c r="M113" s="2"/>
      <c r="N113" s="2"/>
      <c r="O113" s="2" t="s">
        <v>37</v>
      </c>
      <c r="P113" s="2" t="s">
        <v>38</v>
      </c>
      <c r="Q113" s="2"/>
      <c r="R113" s="3" t="n">
        <v>1</v>
      </c>
      <c r="S113" s="3" t="n">
        <v>1.2</v>
      </c>
      <c r="T113" s="3" t="n">
        <v>2.1</v>
      </c>
      <c r="U113" s="2" t="s">
        <v>1107</v>
      </c>
      <c r="V113" s="2" t="s">
        <v>40</v>
      </c>
      <c r="W113" s="2" t="s">
        <v>635</v>
      </c>
      <c r="X113" s="4" t="s">
        <v>42</v>
      </c>
      <c r="Y113" s="2" t="n">
        <v>17428376</v>
      </c>
    </row>
    <row r="114" customFormat="false" ht="15" hidden="false" customHeight="false" outlineLevel="0" collapsed="false">
      <c r="A114" s="2" t="s">
        <v>208</v>
      </c>
      <c r="B114" s="2" t="s">
        <v>1108</v>
      </c>
      <c r="C114" s="2" t="s">
        <v>1109</v>
      </c>
      <c r="D114" s="2" t="s">
        <v>1110</v>
      </c>
      <c r="E114" s="2" t="s">
        <v>255</v>
      </c>
      <c r="F114" s="2" t="s">
        <v>30</v>
      </c>
      <c r="G114" s="2" t="s">
        <v>287</v>
      </c>
      <c r="H114" s="2" t="s">
        <v>1111</v>
      </c>
      <c r="I114" s="2" t="s">
        <v>1112</v>
      </c>
      <c r="J114" s="2" t="s">
        <v>1113</v>
      </c>
      <c r="K114" s="2" t="s">
        <v>1114</v>
      </c>
      <c r="L114" s="2" t="s">
        <v>1054</v>
      </c>
      <c r="M114" s="2"/>
      <c r="N114" s="2"/>
      <c r="O114" s="2" t="s">
        <v>37</v>
      </c>
      <c r="P114" s="2" t="s">
        <v>38</v>
      </c>
      <c r="Q114" s="2"/>
      <c r="R114" s="3" t="n">
        <v>1</v>
      </c>
      <c r="S114" s="3" t="n">
        <v>1.2</v>
      </c>
      <c r="T114" s="3" t="n">
        <v>2.1</v>
      </c>
      <c r="U114" s="2" t="s">
        <v>1115</v>
      </c>
      <c r="V114" s="2" t="s">
        <v>40</v>
      </c>
      <c r="W114" s="2" t="s">
        <v>635</v>
      </c>
      <c r="X114" s="4" t="s">
        <v>42</v>
      </c>
      <c r="Y114" s="2" t="n">
        <v>17428355</v>
      </c>
    </row>
    <row r="115" customFormat="false" ht="15" hidden="false" customHeight="false" outlineLevel="0" collapsed="false">
      <c r="A115" s="2" t="s">
        <v>1116</v>
      </c>
      <c r="B115" s="2" t="s">
        <v>1117</v>
      </c>
      <c r="C115" s="2" t="s">
        <v>45</v>
      </c>
      <c r="D115" s="2" t="s">
        <v>1118</v>
      </c>
      <c r="E115" s="2" t="s">
        <v>47</v>
      </c>
      <c r="F115" s="2" t="s">
        <v>30</v>
      </c>
      <c r="G115" s="2" t="s">
        <v>79</v>
      </c>
      <c r="H115" s="2" t="s">
        <v>1119</v>
      </c>
      <c r="I115" s="2" t="s">
        <v>1120</v>
      </c>
      <c r="J115" s="2" t="s">
        <v>1121</v>
      </c>
      <c r="K115" s="2" t="s">
        <v>45</v>
      </c>
      <c r="L115" s="2" t="s">
        <v>1122</v>
      </c>
      <c r="M115" s="2"/>
      <c r="N115" s="2"/>
      <c r="O115" s="2" t="s">
        <v>37</v>
      </c>
      <c r="P115" s="2" t="s">
        <v>38</v>
      </c>
      <c r="Q115" s="2"/>
      <c r="R115" s="3" t="n">
        <v>0.92</v>
      </c>
      <c r="S115" s="3" t="n">
        <v>1.2</v>
      </c>
      <c r="T115" s="3" t="n">
        <v>2</v>
      </c>
      <c r="U115" s="2" t="s">
        <v>1123</v>
      </c>
      <c r="V115" s="2" t="s">
        <v>40</v>
      </c>
      <c r="W115" s="2" t="s">
        <v>635</v>
      </c>
      <c r="X115" s="4" t="s">
        <v>42</v>
      </c>
      <c r="Y115" s="2" t="n">
        <v>17428342</v>
      </c>
    </row>
    <row r="116" customFormat="false" ht="15" hidden="false" customHeight="false" outlineLevel="0" collapsed="false">
      <c r="A116" s="2" t="s">
        <v>1124</v>
      </c>
      <c r="B116" s="2" t="s">
        <v>1125</v>
      </c>
      <c r="C116" s="2" t="s">
        <v>1126</v>
      </c>
      <c r="D116" s="2" t="s">
        <v>1127</v>
      </c>
      <c r="E116" s="2" t="s">
        <v>29</v>
      </c>
      <c r="F116" s="2" t="s">
        <v>48</v>
      </c>
      <c r="G116" s="2" t="s">
        <v>1128</v>
      </c>
      <c r="H116" s="2"/>
      <c r="I116" s="2" t="s">
        <v>1129</v>
      </c>
      <c r="J116" s="2" t="s">
        <v>1130</v>
      </c>
      <c r="K116" s="2" t="s">
        <v>1131</v>
      </c>
      <c r="L116" s="2" t="s">
        <v>1132</v>
      </c>
      <c r="M116" s="2"/>
      <c r="N116" s="2"/>
      <c r="O116" s="2" t="s">
        <v>37</v>
      </c>
      <c r="P116" s="2" t="s">
        <v>38</v>
      </c>
      <c r="Q116" s="2"/>
      <c r="R116" s="3" t="n">
        <v>0.8</v>
      </c>
      <c r="S116" s="3" t="n">
        <v>1.2</v>
      </c>
      <c r="T116" s="3" t="n">
        <v>1.8</v>
      </c>
      <c r="U116" s="2" t="s">
        <v>1133</v>
      </c>
      <c r="V116" s="2" t="s">
        <v>40</v>
      </c>
      <c r="W116" s="2" t="s">
        <v>1134</v>
      </c>
      <c r="X116" s="4" t="s">
        <v>42</v>
      </c>
      <c r="Y116" s="2" t="n">
        <v>17428294</v>
      </c>
    </row>
    <row r="117" customFormat="false" ht="15" hidden="false" customHeight="false" outlineLevel="0" collapsed="false">
      <c r="A117" s="2" t="s">
        <v>1135</v>
      </c>
      <c r="B117" s="2" t="s">
        <v>1136</v>
      </c>
      <c r="C117" s="2" t="s">
        <v>27</v>
      </c>
      <c r="D117" s="2" t="s">
        <v>1137</v>
      </c>
      <c r="E117" s="2" t="s">
        <v>58</v>
      </c>
      <c r="F117" s="2" t="s">
        <v>48</v>
      </c>
      <c r="G117" s="2" t="s">
        <v>287</v>
      </c>
      <c r="H117" s="2" t="s">
        <v>1138</v>
      </c>
      <c r="I117" s="2" t="s">
        <v>1139</v>
      </c>
      <c r="J117" s="2" t="s">
        <v>1140</v>
      </c>
      <c r="K117" s="2" t="s">
        <v>1141</v>
      </c>
      <c r="L117" s="2" t="s">
        <v>1142</v>
      </c>
      <c r="M117" s="2"/>
      <c r="N117" s="2"/>
      <c r="O117" s="2" t="s">
        <v>37</v>
      </c>
      <c r="P117" s="2" t="s">
        <v>38</v>
      </c>
      <c r="Q117" s="2"/>
      <c r="R117" s="3" t="n">
        <v>1</v>
      </c>
      <c r="S117" s="3" t="n">
        <v>1.2</v>
      </c>
      <c r="T117" s="3" t="n">
        <v>2.1</v>
      </c>
      <c r="U117" s="2" t="s">
        <v>1143</v>
      </c>
      <c r="V117" s="2" t="s">
        <v>40</v>
      </c>
      <c r="W117" s="2" t="s">
        <v>1134</v>
      </c>
      <c r="X117" s="4" t="s">
        <v>42</v>
      </c>
      <c r="Y117" s="2" t="n">
        <v>17428290</v>
      </c>
    </row>
    <row r="118" customFormat="false" ht="15" hidden="false" customHeight="false" outlineLevel="0" collapsed="false">
      <c r="A118" s="2" t="s">
        <v>1144</v>
      </c>
      <c r="B118" s="2" t="s">
        <v>1145</v>
      </c>
      <c r="C118" s="2" t="s">
        <v>27</v>
      </c>
      <c r="D118" s="2" t="s">
        <v>1146</v>
      </c>
      <c r="E118" s="2" t="s">
        <v>47</v>
      </c>
      <c r="F118" s="2" t="s">
        <v>30</v>
      </c>
      <c r="G118" s="2" t="s">
        <v>1147</v>
      </c>
      <c r="H118" s="2" t="s">
        <v>1148</v>
      </c>
      <c r="I118" s="2" t="s">
        <v>1149</v>
      </c>
      <c r="J118" s="2" t="s">
        <v>1150</v>
      </c>
      <c r="K118" s="2" t="s">
        <v>1151</v>
      </c>
      <c r="L118" s="2" t="s">
        <v>594</v>
      </c>
      <c r="M118" s="2"/>
      <c r="N118" s="2"/>
      <c r="O118" s="2" t="s">
        <v>37</v>
      </c>
      <c r="P118" s="2" t="s">
        <v>38</v>
      </c>
      <c r="Q118" s="2"/>
      <c r="R118" s="3" t="n">
        <v>0.86</v>
      </c>
      <c r="S118" s="3" t="n">
        <v>1.2</v>
      </c>
      <c r="T118" s="3" t="n">
        <v>1.9</v>
      </c>
      <c r="U118" s="2" t="s">
        <v>1152</v>
      </c>
      <c r="V118" s="2" t="s">
        <v>40</v>
      </c>
      <c r="W118" s="2" t="s">
        <v>1134</v>
      </c>
      <c r="X118" s="4" t="s">
        <v>42</v>
      </c>
      <c r="Y118" s="2" t="n">
        <v>17428259</v>
      </c>
    </row>
    <row r="119" customFormat="false" ht="15" hidden="false" customHeight="false" outlineLevel="0" collapsed="false">
      <c r="A119" s="2" t="s">
        <v>1153</v>
      </c>
      <c r="B119" s="2" t="s">
        <v>1154</v>
      </c>
      <c r="C119" s="2" t="s">
        <v>27</v>
      </c>
      <c r="D119" s="2" t="s">
        <v>1155</v>
      </c>
      <c r="E119" s="2" t="s">
        <v>47</v>
      </c>
      <c r="F119" s="2" t="s">
        <v>48</v>
      </c>
      <c r="G119" s="2" t="s">
        <v>59</v>
      </c>
      <c r="H119" s="2"/>
      <c r="I119" s="2" t="s">
        <v>1156</v>
      </c>
      <c r="J119" s="2" t="s">
        <v>1157</v>
      </c>
      <c r="K119" s="2" t="s">
        <v>1158</v>
      </c>
      <c r="L119" s="2" t="s">
        <v>1159</v>
      </c>
      <c r="M119" s="2"/>
      <c r="N119" s="2"/>
      <c r="O119" s="2" t="s">
        <v>37</v>
      </c>
      <c r="P119" s="2" t="s">
        <v>38</v>
      </c>
      <c r="Q119" s="2"/>
      <c r="R119" s="3" t="n">
        <v>0.96</v>
      </c>
      <c r="S119" s="3" t="n">
        <v>1.2</v>
      </c>
      <c r="T119" s="3" t="n">
        <v>2</v>
      </c>
      <c r="U119" s="2" t="s">
        <v>1160</v>
      </c>
      <c r="V119" s="2" t="s">
        <v>40</v>
      </c>
      <c r="W119" s="2" t="s">
        <v>1134</v>
      </c>
      <c r="X119" s="4" t="s">
        <v>42</v>
      </c>
      <c r="Y119" s="2" t="n">
        <v>17428258</v>
      </c>
    </row>
    <row r="120" customFormat="false" ht="15" hidden="false" customHeight="false" outlineLevel="0" collapsed="false">
      <c r="A120" s="2" t="s">
        <v>1161</v>
      </c>
      <c r="B120" s="2" t="s">
        <v>1162</v>
      </c>
      <c r="C120" s="2" t="s">
        <v>45</v>
      </c>
      <c r="D120" s="2" t="s">
        <v>1163</v>
      </c>
      <c r="E120" s="2" t="s">
        <v>90</v>
      </c>
      <c r="F120" s="2" t="s">
        <v>30</v>
      </c>
      <c r="G120" s="2" t="s">
        <v>330</v>
      </c>
      <c r="H120" s="2"/>
      <c r="I120" s="2" t="s">
        <v>1164</v>
      </c>
      <c r="J120" s="2" t="s">
        <v>1165</v>
      </c>
      <c r="K120" s="2" t="s">
        <v>1166</v>
      </c>
      <c r="L120" s="2" t="s">
        <v>1167</v>
      </c>
      <c r="M120" s="2"/>
      <c r="N120" s="2"/>
      <c r="O120" s="2" t="s">
        <v>37</v>
      </c>
      <c r="P120" s="2" t="s">
        <v>38</v>
      </c>
      <c r="Q120" s="2"/>
      <c r="R120" s="3" t="n">
        <v>1</v>
      </c>
      <c r="S120" s="3" t="n">
        <v>1.2</v>
      </c>
      <c r="T120" s="3" t="n">
        <v>2.1</v>
      </c>
      <c r="U120" s="2" t="s">
        <v>1168</v>
      </c>
      <c r="V120" s="2" t="s">
        <v>40</v>
      </c>
      <c r="W120" s="2" t="s">
        <v>1134</v>
      </c>
      <c r="X120" s="4" t="s">
        <v>42</v>
      </c>
      <c r="Y120" s="2" t="n">
        <v>17428229</v>
      </c>
    </row>
    <row r="121" customFormat="false" ht="15" hidden="false" customHeight="false" outlineLevel="0" collapsed="false">
      <c r="A121" s="2" t="s">
        <v>1169</v>
      </c>
      <c r="B121" s="2" t="s">
        <v>1170</v>
      </c>
      <c r="C121" s="2" t="s">
        <v>1171</v>
      </c>
      <c r="D121" s="2" t="s">
        <v>1172</v>
      </c>
      <c r="E121" s="2" t="s">
        <v>47</v>
      </c>
      <c r="F121" s="2" t="s">
        <v>30</v>
      </c>
      <c r="G121" s="2" t="s">
        <v>211</v>
      </c>
      <c r="H121" s="2" t="s">
        <v>1173</v>
      </c>
      <c r="I121" s="2" t="s">
        <v>1174</v>
      </c>
      <c r="J121" s="2" t="s">
        <v>1175</v>
      </c>
      <c r="K121" s="2" t="s">
        <v>1176</v>
      </c>
      <c r="L121" s="2" t="s">
        <v>1177</v>
      </c>
      <c r="M121" s="2"/>
      <c r="N121" s="2"/>
      <c r="O121" s="2" t="s">
        <v>37</v>
      </c>
      <c r="P121" s="2" t="s">
        <v>38</v>
      </c>
      <c r="Q121" s="2"/>
      <c r="R121" s="3" t="n">
        <v>0.96</v>
      </c>
      <c r="S121" s="3" t="n">
        <v>1.2</v>
      </c>
      <c r="T121" s="3" t="n">
        <v>2</v>
      </c>
      <c r="U121" s="2" t="s">
        <v>1178</v>
      </c>
      <c r="V121" s="2" t="s">
        <v>40</v>
      </c>
      <c r="W121" s="2" t="s">
        <v>1134</v>
      </c>
      <c r="X121" s="4" t="s">
        <v>42</v>
      </c>
      <c r="Y121" s="2" t="n">
        <v>17428171</v>
      </c>
    </row>
    <row r="122" customFormat="false" ht="15" hidden="false" customHeight="false" outlineLevel="0" collapsed="false">
      <c r="A122" s="2" t="s">
        <v>636</v>
      </c>
      <c r="B122" s="2" t="s">
        <v>1179</v>
      </c>
      <c r="C122" s="2" t="s">
        <v>1180</v>
      </c>
      <c r="D122" s="2" t="s">
        <v>1181</v>
      </c>
      <c r="E122" s="2" t="s">
        <v>244</v>
      </c>
      <c r="F122" s="2" t="s">
        <v>165</v>
      </c>
      <c r="G122" s="2" t="s">
        <v>878</v>
      </c>
      <c r="H122" s="2" t="s">
        <v>1182</v>
      </c>
      <c r="I122" s="2" t="s">
        <v>1183</v>
      </c>
      <c r="J122" s="2" t="s">
        <v>1184</v>
      </c>
      <c r="K122" s="2" t="s">
        <v>1185</v>
      </c>
      <c r="L122" s="2" t="s">
        <v>715</v>
      </c>
      <c r="M122" s="2"/>
      <c r="N122" s="2"/>
      <c r="O122" s="2" t="s">
        <v>37</v>
      </c>
      <c r="P122" s="2" t="s">
        <v>38</v>
      </c>
      <c r="Q122" s="2"/>
      <c r="R122" s="3" t="n">
        <v>1</v>
      </c>
      <c r="S122" s="3" t="n">
        <v>1.2</v>
      </c>
      <c r="T122" s="3" t="n">
        <v>2.1</v>
      </c>
      <c r="U122" s="2" t="s">
        <v>1186</v>
      </c>
      <c r="V122" s="2" t="s">
        <v>40</v>
      </c>
      <c r="W122" s="2" t="s">
        <v>1134</v>
      </c>
      <c r="X122" s="4" t="s">
        <v>42</v>
      </c>
      <c r="Y122" s="2" t="n">
        <v>17428166</v>
      </c>
    </row>
    <row r="123" customFormat="false" ht="15" hidden="false" customHeight="false" outlineLevel="0" collapsed="false">
      <c r="A123" s="2" t="s">
        <v>1187</v>
      </c>
      <c r="B123" s="2" t="s">
        <v>1188</v>
      </c>
      <c r="C123" s="2" t="s">
        <v>1189</v>
      </c>
      <c r="D123" s="2" t="s">
        <v>1190</v>
      </c>
      <c r="E123" s="2" t="s">
        <v>47</v>
      </c>
      <c r="F123" s="2" t="s">
        <v>48</v>
      </c>
      <c r="G123" s="2" t="s">
        <v>756</v>
      </c>
      <c r="H123" s="2" t="s">
        <v>1191</v>
      </c>
      <c r="I123" s="2" t="s">
        <v>1192</v>
      </c>
      <c r="J123" s="2" t="s">
        <v>1193</v>
      </c>
      <c r="K123" s="2" t="s">
        <v>1194</v>
      </c>
      <c r="L123" s="2" t="s">
        <v>1195</v>
      </c>
      <c r="M123" s="2"/>
      <c r="N123" s="2"/>
      <c r="O123" s="2" t="s">
        <v>37</v>
      </c>
      <c r="P123" s="2" t="s">
        <v>38</v>
      </c>
      <c r="Q123" s="2"/>
      <c r="R123" s="3" t="n">
        <v>0.9</v>
      </c>
      <c r="S123" s="3" t="n">
        <v>1.2</v>
      </c>
      <c r="T123" s="3" t="n">
        <v>2</v>
      </c>
      <c r="U123" s="2" t="s">
        <v>1196</v>
      </c>
      <c r="V123" s="2" t="s">
        <v>40</v>
      </c>
      <c r="W123" s="2" t="s">
        <v>1134</v>
      </c>
      <c r="X123" s="4" t="s">
        <v>42</v>
      </c>
      <c r="Y123" s="2" t="n">
        <v>17428165</v>
      </c>
    </row>
    <row r="124" customFormat="false" ht="15" hidden="false" customHeight="false" outlineLevel="0" collapsed="false">
      <c r="A124" s="2" t="s">
        <v>1197</v>
      </c>
      <c r="B124" s="2" t="s">
        <v>1198</v>
      </c>
      <c r="C124" s="2" t="s">
        <v>1199</v>
      </c>
      <c r="D124" s="2" t="s">
        <v>1200</v>
      </c>
      <c r="E124" s="2" t="s">
        <v>90</v>
      </c>
      <c r="F124" s="2" t="s">
        <v>30</v>
      </c>
      <c r="G124" s="2" t="s">
        <v>1201</v>
      </c>
      <c r="H124" s="2" t="s">
        <v>1202</v>
      </c>
      <c r="I124" s="2" t="s">
        <v>1203</v>
      </c>
      <c r="J124" s="2" t="s">
        <v>1204</v>
      </c>
      <c r="K124" s="2" t="s">
        <v>1205</v>
      </c>
      <c r="L124" s="2" t="s">
        <v>1206</v>
      </c>
      <c r="M124" s="2"/>
      <c r="N124" s="2"/>
      <c r="O124" s="2" t="s">
        <v>37</v>
      </c>
      <c r="P124" s="2" t="s">
        <v>38</v>
      </c>
      <c r="Q124" s="2"/>
      <c r="R124" s="3" t="n">
        <v>0.96</v>
      </c>
      <c r="S124" s="3" t="n">
        <v>1.2</v>
      </c>
      <c r="T124" s="3" t="n">
        <v>2</v>
      </c>
      <c r="U124" s="2" t="s">
        <v>1207</v>
      </c>
      <c r="V124" s="2" t="s">
        <v>40</v>
      </c>
      <c r="W124" s="2" t="s">
        <v>1134</v>
      </c>
      <c r="X124" s="4" t="s">
        <v>42</v>
      </c>
      <c r="Y124" s="2" t="n">
        <v>17428162</v>
      </c>
    </row>
    <row r="125" customFormat="false" ht="15" hidden="false" customHeight="false" outlineLevel="0" collapsed="false">
      <c r="A125" s="2" t="s">
        <v>43</v>
      </c>
      <c r="B125" s="2" t="s">
        <v>1208</v>
      </c>
      <c r="C125" s="2" t="s">
        <v>45</v>
      </c>
      <c r="D125" s="2" t="s">
        <v>1209</v>
      </c>
      <c r="E125" s="2" t="s">
        <v>90</v>
      </c>
      <c r="F125" s="2" t="s">
        <v>48</v>
      </c>
      <c r="G125" s="2" t="s">
        <v>59</v>
      </c>
      <c r="H125" s="2"/>
      <c r="I125" s="2" t="s">
        <v>1210</v>
      </c>
      <c r="J125" s="2" t="s">
        <v>1211</v>
      </c>
      <c r="K125" s="2" t="s">
        <v>1212</v>
      </c>
      <c r="L125" s="2" t="s">
        <v>1213</v>
      </c>
      <c r="M125" s="2"/>
      <c r="N125" s="2"/>
      <c r="O125" s="2" t="s">
        <v>37</v>
      </c>
      <c r="P125" s="2" t="s">
        <v>38</v>
      </c>
      <c r="Q125" s="2"/>
      <c r="R125" s="3" t="n">
        <v>0.96</v>
      </c>
      <c r="S125" s="3" t="n">
        <v>1.2</v>
      </c>
      <c r="T125" s="3" t="n">
        <v>2</v>
      </c>
      <c r="U125" s="2" t="s">
        <v>1214</v>
      </c>
      <c r="V125" s="2" t="s">
        <v>40</v>
      </c>
      <c r="W125" s="2" t="s">
        <v>1134</v>
      </c>
      <c r="X125" s="4" t="s">
        <v>42</v>
      </c>
      <c r="Y125" s="2" t="n">
        <v>17428161</v>
      </c>
    </row>
    <row r="126" customFormat="false" ht="15" hidden="false" customHeight="false" outlineLevel="0" collapsed="false">
      <c r="A126" s="2" t="s">
        <v>1215</v>
      </c>
      <c r="B126" s="2" t="s">
        <v>1216</v>
      </c>
      <c r="C126" s="2" t="s">
        <v>339</v>
      </c>
      <c r="D126" s="2" t="s">
        <v>1217</v>
      </c>
      <c r="E126" s="2" t="s">
        <v>47</v>
      </c>
      <c r="F126" s="2" t="s">
        <v>30</v>
      </c>
      <c r="G126" s="2" t="s">
        <v>287</v>
      </c>
      <c r="H126" s="2" t="s">
        <v>1218</v>
      </c>
      <c r="I126" s="2" t="s">
        <v>1219</v>
      </c>
      <c r="J126" s="2" t="s">
        <v>1220</v>
      </c>
      <c r="K126" s="2" t="s">
        <v>1221</v>
      </c>
      <c r="L126" s="2" t="s">
        <v>1222</v>
      </c>
      <c r="M126" s="2"/>
      <c r="N126" s="2"/>
      <c r="O126" s="2" t="s">
        <v>37</v>
      </c>
      <c r="P126" s="2" t="s">
        <v>38</v>
      </c>
      <c r="Q126" s="2"/>
      <c r="R126" s="3" t="n">
        <v>0.96</v>
      </c>
      <c r="S126" s="3" t="n">
        <v>1.2</v>
      </c>
      <c r="T126" s="3" t="n">
        <v>2</v>
      </c>
      <c r="U126" s="2" t="s">
        <v>1223</v>
      </c>
      <c r="V126" s="2" t="s">
        <v>40</v>
      </c>
      <c r="W126" s="2" t="s">
        <v>1134</v>
      </c>
      <c r="X126" s="4" t="s">
        <v>42</v>
      </c>
      <c r="Y126" s="2" t="n">
        <v>17428130</v>
      </c>
    </row>
    <row r="127" customFormat="false" ht="15" hidden="false" customHeight="false" outlineLevel="0" collapsed="false">
      <c r="A127" s="2" t="s">
        <v>1224</v>
      </c>
      <c r="B127" s="2" t="s">
        <v>1225</v>
      </c>
      <c r="C127" s="2" t="s">
        <v>27</v>
      </c>
      <c r="D127" s="2" t="s">
        <v>1226</v>
      </c>
      <c r="E127" s="2" t="s">
        <v>47</v>
      </c>
      <c r="F127" s="2" t="s">
        <v>48</v>
      </c>
      <c r="G127" s="2" t="s">
        <v>287</v>
      </c>
      <c r="H127" s="2" t="s">
        <v>1227</v>
      </c>
      <c r="I127" s="2" t="s">
        <v>1228</v>
      </c>
      <c r="J127" s="2" t="s">
        <v>1229</v>
      </c>
      <c r="K127" s="2" t="s">
        <v>1230</v>
      </c>
      <c r="L127" s="2" t="s">
        <v>1231</v>
      </c>
      <c r="M127" s="2"/>
      <c r="N127" s="2"/>
      <c r="O127" s="2" t="s">
        <v>37</v>
      </c>
      <c r="P127" s="2" t="s">
        <v>38</v>
      </c>
      <c r="Q127" s="2"/>
      <c r="R127" s="3" t="n">
        <v>0.94</v>
      </c>
      <c r="S127" s="3" t="n">
        <v>1.2</v>
      </c>
      <c r="T127" s="3" t="n">
        <v>2</v>
      </c>
      <c r="U127" s="2" t="s">
        <v>1232</v>
      </c>
      <c r="V127" s="2" t="s">
        <v>40</v>
      </c>
      <c r="W127" s="2" t="s">
        <v>1134</v>
      </c>
      <c r="X127" s="4" t="s">
        <v>42</v>
      </c>
      <c r="Y127" s="2" t="n">
        <v>17428125</v>
      </c>
    </row>
    <row r="128" customFormat="false" ht="15" hidden="false" customHeight="false" outlineLevel="0" collapsed="false">
      <c r="A128" s="2" t="s">
        <v>1233</v>
      </c>
      <c r="B128" s="2" t="s">
        <v>66</v>
      </c>
      <c r="C128" s="2" t="s">
        <v>1234</v>
      </c>
      <c r="D128" s="2" t="s">
        <v>66</v>
      </c>
      <c r="E128" s="2" t="s">
        <v>103</v>
      </c>
      <c r="F128" s="2" t="s">
        <v>30</v>
      </c>
      <c r="G128" s="2" t="s">
        <v>1235</v>
      </c>
      <c r="H128" s="2" t="s">
        <v>1236</v>
      </c>
      <c r="I128" s="2" t="s">
        <v>1237</v>
      </c>
      <c r="J128" s="2" t="s">
        <v>1238</v>
      </c>
      <c r="K128" s="2" t="s">
        <v>1239</v>
      </c>
      <c r="L128" s="2" t="s">
        <v>1240</v>
      </c>
      <c r="M128" s="2"/>
      <c r="N128" s="2"/>
      <c r="O128" s="2" t="s">
        <v>37</v>
      </c>
      <c r="P128" s="2" t="s">
        <v>38</v>
      </c>
      <c r="Q128" s="2"/>
      <c r="R128" s="3" t="n">
        <v>1</v>
      </c>
      <c r="S128" s="3" t="n">
        <v>1.2</v>
      </c>
      <c r="T128" s="3" t="n">
        <v>2.1</v>
      </c>
      <c r="U128" s="2" t="s">
        <v>1241</v>
      </c>
      <c r="V128" s="2" t="s">
        <v>40</v>
      </c>
      <c r="W128" s="2" t="s">
        <v>1134</v>
      </c>
      <c r="X128" s="4" t="s">
        <v>42</v>
      </c>
      <c r="Y128" s="2" t="n">
        <v>17428090</v>
      </c>
    </row>
    <row r="129" customFormat="false" ht="15" hidden="false" customHeight="false" outlineLevel="0" collapsed="false">
      <c r="A129" s="2" t="s">
        <v>1242</v>
      </c>
      <c r="B129" s="2" t="s">
        <v>1243</v>
      </c>
      <c r="C129" s="2" t="s">
        <v>45</v>
      </c>
      <c r="D129" s="2" t="s">
        <v>1244</v>
      </c>
      <c r="E129" s="2" t="s">
        <v>103</v>
      </c>
      <c r="F129" s="2" t="s">
        <v>30</v>
      </c>
      <c r="G129" s="2" t="s">
        <v>1245</v>
      </c>
      <c r="H129" s="2" t="s">
        <v>1246</v>
      </c>
      <c r="I129" s="2" t="s">
        <v>1247</v>
      </c>
      <c r="J129" s="2" t="s">
        <v>1248</v>
      </c>
      <c r="K129" s="2" t="s">
        <v>1249</v>
      </c>
      <c r="L129" s="2" t="s">
        <v>1250</v>
      </c>
      <c r="M129" s="2"/>
      <c r="N129" s="2"/>
      <c r="O129" s="2" t="s">
        <v>37</v>
      </c>
      <c r="P129" s="2" t="s">
        <v>38</v>
      </c>
      <c r="Q129" s="2"/>
      <c r="R129" s="3" t="n">
        <v>0.96</v>
      </c>
      <c r="S129" s="3" t="n">
        <v>1.2</v>
      </c>
      <c r="T129" s="3" t="n">
        <v>2</v>
      </c>
      <c r="U129" s="2" t="s">
        <v>1251</v>
      </c>
      <c r="V129" s="2" t="s">
        <v>40</v>
      </c>
      <c r="W129" s="2" t="s">
        <v>1134</v>
      </c>
      <c r="X129" s="4" t="s">
        <v>42</v>
      </c>
      <c r="Y129" s="2" t="n">
        <v>17428071</v>
      </c>
    </row>
    <row r="130" customFormat="false" ht="15" hidden="false" customHeight="false" outlineLevel="0" collapsed="false">
      <c r="A130" s="2" t="s">
        <v>1252</v>
      </c>
      <c r="B130" s="2" t="s">
        <v>1253</v>
      </c>
      <c r="C130" s="2" t="s">
        <v>905</v>
      </c>
      <c r="D130" s="2" t="s">
        <v>1254</v>
      </c>
      <c r="E130" s="2" t="s">
        <v>103</v>
      </c>
      <c r="F130" s="2" t="s">
        <v>30</v>
      </c>
      <c r="G130" s="2" t="s">
        <v>1255</v>
      </c>
      <c r="H130" s="2" t="s">
        <v>1256</v>
      </c>
      <c r="I130" s="2" t="s">
        <v>1257</v>
      </c>
      <c r="J130" s="2" t="s">
        <v>1258</v>
      </c>
      <c r="K130" s="2" t="s">
        <v>1259</v>
      </c>
      <c r="L130" s="2" t="s">
        <v>1260</v>
      </c>
      <c r="M130" s="2"/>
      <c r="N130" s="2"/>
      <c r="O130" s="2" t="s">
        <v>37</v>
      </c>
      <c r="P130" s="2" t="s">
        <v>38</v>
      </c>
      <c r="Q130" s="2"/>
      <c r="R130" s="3" t="n">
        <v>0.95</v>
      </c>
      <c r="S130" s="3" t="n">
        <v>1.2</v>
      </c>
      <c r="T130" s="3" t="n">
        <v>2</v>
      </c>
      <c r="U130" s="2" t="s">
        <v>1261</v>
      </c>
      <c r="V130" s="2" t="s">
        <v>40</v>
      </c>
      <c r="W130" s="2" t="s">
        <v>1134</v>
      </c>
      <c r="X130" s="4" t="s">
        <v>42</v>
      </c>
      <c r="Y130" s="2" t="n">
        <v>17428054</v>
      </c>
    </row>
    <row r="131" customFormat="false" ht="15" hidden="false" customHeight="false" outlineLevel="0" collapsed="false">
      <c r="A131" s="2" t="s">
        <v>1262</v>
      </c>
      <c r="B131" s="2" t="s">
        <v>1263</v>
      </c>
      <c r="C131" s="2" t="s">
        <v>799</v>
      </c>
      <c r="D131" s="2" t="s">
        <v>1264</v>
      </c>
      <c r="E131" s="2" t="s">
        <v>90</v>
      </c>
      <c r="F131" s="2" t="s">
        <v>30</v>
      </c>
      <c r="G131" s="2" t="s">
        <v>1265</v>
      </c>
      <c r="H131" s="2" t="s">
        <v>1266</v>
      </c>
      <c r="I131" s="2" t="s">
        <v>1267</v>
      </c>
      <c r="J131" s="2" t="s">
        <v>1268</v>
      </c>
      <c r="K131" s="2" t="s">
        <v>1269</v>
      </c>
      <c r="L131" s="2" t="s">
        <v>1270</v>
      </c>
      <c r="M131" s="2"/>
      <c r="N131" s="2"/>
      <c r="O131" s="2" t="s">
        <v>37</v>
      </c>
      <c r="P131" s="2" t="s">
        <v>38</v>
      </c>
      <c r="Q131" s="2"/>
      <c r="R131" s="3" t="n">
        <v>1</v>
      </c>
      <c r="S131" s="3" t="n">
        <v>1.2</v>
      </c>
      <c r="T131" s="3" t="n">
        <v>2.1</v>
      </c>
      <c r="U131" s="2" t="s">
        <v>1271</v>
      </c>
      <c r="V131" s="2" t="s">
        <v>40</v>
      </c>
      <c r="W131" s="2" t="s">
        <v>1134</v>
      </c>
      <c r="X131" s="4" t="s">
        <v>42</v>
      </c>
      <c r="Y131" s="2" t="n">
        <v>17428038</v>
      </c>
    </row>
    <row r="132" customFormat="false" ht="15" hidden="false" customHeight="false" outlineLevel="0" collapsed="false">
      <c r="A132" s="2" t="s">
        <v>1272</v>
      </c>
      <c r="B132" s="2" t="s">
        <v>577</v>
      </c>
      <c r="C132" s="2" t="s">
        <v>45</v>
      </c>
      <c r="D132" s="2" t="s">
        <v>1273</v>
      </c>
      <c r="E132" s="2" t="s">
        <v>255</v>
      </c>
      <c r="F132" s="2" t="s">
        <v>48</v>
      </c>
      <c r="G132" s="2" t="s">
        <v>756</v>
      </c>
      <c r="H132" s="2" t="s">
        <v>1274</v>
      </c>
      <c r="I132" s="2" t="s">
        <v>1275</v>
      </c>
      <c r="J132" s="2" t="s">
        <v>1276</v>
      </c>
      <c r="K132" s="2" t="s">
        <v>1277</v>
      </c>
      <c r="L132" s="2" t="s">
        <v>1206</v>
      </c>
      <c r="M132" s="2"/>
      <c r="N132" s="2"/>
      <c r="O132" s="2" t="s">
        <v>37</v>
      </c>
      <c r="P132" s="2" t="s">
        <v>38</v>
      </c>
      <c r="Q132" s="2"/>
      <c r="R132" s="3" t="n">
        <v>0.85</v>
      </c>
      <c r="S132" s="3" t="n">
        <v>1.2</v>
      </c>
      <c r="T132" s="3" t="n">
        <v>1.9</v>
      </c>
      <c r="U132" s="2" t="s">
        <v>1278</v>
      </c>
      <c r="V132" s="2" t="s">
        <v>40</v>
      </c>
      <c r="W132" s="2" t="s">
        <v>1134</v>
      </c>
      <c r="X132" s="4" t="s">
        <v>42</v>
      </c>
      <c r="Y132" s="2" t="n">
        <v>17428021</v>
      </c>
    </row>
    <row r="133" customFormat="false" ht="15" hidden="false" customHeight="false" outlineLevel="0" collapsed="false">
      <c r="A133" s="2" t="s">
        <v>346</v>
      </c>
      <c r="B133" s="2" t="s">
        <v>1279</v>
      </c>
      <c r="C133" s="2" t="s">
        <v>1280</v>
      </c>
      <c r="D133" s="2" t="s">
        <v>1281</v>
      </c>
      <c r="E133" s="2" t="s">
        <v>90</v>
      </c>
      <c r="F133" s="2" t="s">
        <v>30</v>
      </c>
      <c r="G133" s="2" t="s">
        <v>1282</v>
      </c>
      <c r="H133" s="2" t="s">
        <v>1283</v>
      </c>
      <c r="I133" s="2" t="s">
        <v>1284</v>
      </c>
      <c r="J133" s="2" t="s">
        <v>1285</v>
      </c>
      <c r="K133" s="2" t="s">
        <v>1286</v>
      </c>
      <c r="L133" s="2" t="s">
        <v>1287</v>
      </c>
      <c r="M133" s="2"/>
      <c r="N133" s="2"/>
      <c r="O133" s="2" t="s">
        <v>37</v>
      </c>
      <c r="P133" s="2" t="s">
        <v>38</v>
      </c>
      <c r="Q133" s="2"/>
      <c r="R133" s="3" t="n">
        <v>0.94</v>
      </c>
      <c r="S133" s="3" t="n">
        <v>1.2</v>
      </c>
      <c r="T133" s="3" t="n">
        <v>2</v>
      </c>
      <c r="U133" s="2" t="s">
        <v>1288</v>
      </c>
      <c r="V133" s="2" t="s">
        <v>40</v>
      </c>
      <c r="W133" s="2" t="s">
        <v>1134</v>
      </c>
      <c r="X133" s="4" t="s">
        <v>42</v>
      </c>
      <c r="Y133" s="2" t="n">
        <v>17428014</v>
      </c>
    </row>
    <row r="134" customFormat="false" ht="15" hidden="false" customHeight="false" outlineLevel="0" collapsed="false">
      <c r="A134" s="2" t="s">
        <v>1289</v>
      </c>
      <c r="B134" s="2" t="s">
        <v>1290</v>
      </c>
      <c r="C134" s="2" t="s">
        <v>1291</v>
      </c>
      <c r="D134" s="2" t="s">
        <v>1292</v>
      </c>
      <c r="E134" s="2" t="s">
        <v>47</v>
      </c>
      <c r="F134" s="2" t="s">
        <v>30</v>
      </c>
      <c r="G134" s="2" t="s">
        <v>1293</v>
      </c>
      <c r="H134" s="2" t="s">
        <v>1294</v>
      </c>
      <c r="I134" s="2" t="s">
        <v>1295</v>
      </c>
      <c r="J134" s="2" t="s">
        <v>1296</v>
      </c>
      <c r="K134" s="2" t="s">
        <v>1297</v>
      </c>
      <c r="L134" s="2" t="s">
        <v>1298</v>
      </c>
      <c r="M134" s="2"/>
      <c r="N134" s="2"/>
      <c r="O134" s="2" t="s">
        <v>37</v>
      </c>
      <c r="P134" s="2" t="s">
        <v>38</v>
      </c>
      <c r="Q134" s="2"/>
      <c r="R134" s="3" t="n">
        <v>0.93</v>
      </c>
      <c r="S134" s="3" t="n">
        <v>1.2</v>
      </c>
      <c r="T134" s="3" t="n">
        <v>2</v>
      </c>
      <c r="U134" s="2" t="s">
        <v>1299</v>
      </c>
      <c r="V134" s="2" t="s">
        <v>40</v>
      </c>
      <c r="W134" s="2" t="s">
        <v>1134</v>
      </c>
      <c r="X134" s="4" t="s">
        <v>42</v>
      </c>
      <c r="Y134" s="2" t="n">
        <v>17428010</v>
      </c>
    </row>
    <row r="135" customFormat="false" ht="15" hidden="false" customHeight="false" outlineLevel="0" collapsed="false">
      <c r="A135" s="2" t="s">
        <v>1300</v>
      </c>
      <c r="B135" s="2" t="s">
        <v>1301</v>
      </c>
      <c r="C135" s="2" t="s">
        <v>494</v>
      </c>
      <c r="D135" s="2" t="s">
        <v>1302</v>
      </c>
      <c r="E135" s="2" t="s">
        <v>47</v>
      </c>
      <c r="F135" s="2" t="s">
        <v>30</v>
      </c>
      <c r="G135" s="2" t="s">
        <v>1303</v>
      </c>
      <c r="H135" s="2"/>
      <c r="I135" s="2" t="s">
        <v>1304</v>
      </c>
      <c r="J135" s="2" t="s">
        <v>1305</v>
      </c>
      <c r="K135" s="2" t="s">
        <v>1306</v>
      </c>
      <c r="L135" s="2" t="s">
        <v>394</v>
      </c>
      <c r="M135" s="2"/>
      <c r="N135" s="2"/>
      <c r="O135" s="2" t="s">
        <v>37</v>
      </c>
      <c r="P135" s="2" t="s">
        <v>38</v>
      </c>
      <c r="Q135" s="2"/>
      <c r="R135" s="3" t="n">
        <v>0.98</v>
      </c>
      <c r="S135" s="3" t="n">
        <v>1.2</v>
      </c>
      <c r="T135" s="3" t="n">
        <v>2.1</v>
      </c>
      <c r="U135" s="2" t="s">
        <v>1307</v>
      </c>
      <c r="V135" s="2" t="s">
        <v>40</v>
      </c>
      <c r="W135" s="2" t="s">
        <v>1134</v>
      </c>
      <c r="X135" s="4" t="s">
        <v>42</v>
      </c>
      <c r="Y135" s="2" t="n">
        <v>17428008</v>
      </c>
    </row>
    <row r="136" customFormat="false" ht="15" hidden="false" customHeight="false" outlineLevel="0" collapsed="false">
      <c r="A136" s="2" t="s">
        <v>1308</v>
      </c>
      <c r="B136" s="2" t="s">
        <v>1309</v>
      </c>
      <c r="C136" s="2" t="s">
        <v>45</v>
      </c>
      <c r="D136" s="2" t="s">
        <v>1310</v>
      </c>
      <c r="E136" s="2" t="s">
        <v>90</v>
      </c>
      <c r="F136" s="2" t="s">
        <v>48</v>
      </c>
      <c r="G136" s="2" t="s">
        <v>59</v>
      </c>
      <c r="H136" s="2"/>
      <c r="I136" s="2" t="s">
        <v>1311</v>
      </c>
      <c r="J136" s="2" t="s">
        <v>1312</v>
      </c>
      <c r="K136" s="2" t="s">
        <v>45</v>
      </c>
      <c r="L136" s="2" t="s">
        <v>945</v>
      </c>
      <c r="M136" s="2"/>
      <c r="N136" s="2"/>
      <c r="O136" s="2" t="s">
        <v>37</v>
      </c>
      <c r="P136" s="2" t="s">
        <v>38</v>
      </c>
      <c r="Q136" s="2"/>
      <c r="R136" s="3" t="n">
        <v>1</v>
      </c>
      <c r="S136" s="3" t="n">
        <v>1.2</v>
      </c>
      <c r="T136" s="3" t="n">
        <v>2.1</v>
      </c>
      <c r="U136" s="2" t="s">
        <v>1313</v>
      </c>
      <c r="V136" s="2" t="s">
        <v>40</v>
      </c>
      <c r="W136" s="2" t="s">
        <v>1134</v>
      </c>
      <c r="X136" s="4" t="s">
        <v>42</v>
      </c>
      <c r="Y136" s="2" t="n">
        <v>17427999</v>
      </c>
    </row>
    <row r="137" customFormat="false" ht="15" hidden="false" customHeight="false" outlineLevel="0" collapsed="false">
      <c r="A137" s="2" t="s">
        <v>1314</v>
      </c>
      <c r="B137" s="2" t="s">
        <v>1315</v>
      </c>
      <c r="C137" s="2" t="s">
        <v>45</v>
      </c>
      <c r="D137" s="2" t="s">
        <v>1316</v>
      </c>
      <c r="E137" s="2" t="s">
        <v>47</v>
      </c>
      <c r="F137" s="2" t="s">
        <v>30</v>
      </c>
      <c r="G137" s="2" t="s">
        <v>287</v>
      </c>
      <c r="H137" s="2" t="s">
        <v>1317</v>
      </c>
      <c r="I137" s="2" t="s">
        <v>1318</v>
      </c>
      <c r="J137" s="2" t="s">
        <v>1319</v>
      </c>
      <c r="K137" s="2" t="s">
        <v>27</v>
      </c>
      <c r="L137" s="2" t="s">
        <v>1320</v>
      </c>
      <c r="M137" s="2"/>
      <c r="N137" s="2"/>
      <c r="O137" s="2" t="s">
        <v>37</v>
      </c>
      <c r="P137" s="2" t="s">
        <v>38</v>
      </c>
      <c r="Q137" s="2"/>
      <c r="R137" s="3" t="n">
        <v>0.9</v>
      </c>
      <c r="S137" s="3" t="n">
        <v>1.2</v>
      </c>
      <c r="T137" s="3" t="n">
        <v>2</v>
      </c>
      <c r="U137" s="2" t="s">
        <v>1321</v>
      </c>
      <c r="V137" s="2" t="s">
        <v>40</v>
      </c>
      <c r="W137" s="2" t="s">
        <v>1134</v>
      </c>
      <c r="X137" s="4" t="s">
        <v>42</v>
      </c>
      <c r="Y137" s="2" t="n">
        <v>17427924</v>
      </c>
    </row>
    <row r="138" customFormat="false" ht="15" hidden="false" customHeight="false" outlineLevel="0" collapsed="false">
      <c r="A138" s="2" t="s">
        <v>1322</v>
      </c>
      <c r="B138" s="2" t="s">
        <v>1323</v>
      </c>
      <c r="C138" s="2" t="s">
        <v>1324</v>
      </c>
      <c r="D138" s="2" t="s">
        <v>1325</v>
      </c>
      <c r="E138" s="2" t="s">
        <v>47</v>
      </c>
      <c r="F138" s="2" t="s">
        <v>48</v>
      </c>
      <c r="G138" s="2" t="s">
        <v>459</v>
      </c>
      <c r="H138" s="2" t="s">
        <v>1326</v>
      </c>
      <c r="I138" s="2" t="s">
        <v>1327</v>
      </c>
      <c r="J138" s="2" t="s">
        <v>1328</v>
      </c>
      <c r="K138" s="2" t="s">
        <v>1329</v>
      </c>
      <c r="L138" s="2" t="s">
        <v>1330</v>
      </c>
      <c r="M138" s="2"/>
      <c r="N138" s="2"/>
      <c r="O138" s="2" t="s">
        <v>37</v>
      </c>
      <c r="P138" s="2" t="s">
        <v>38</v>
      </c>
      <c r="Q138" s="2"/>
      <c r="R138" s="3" t="n">
        <v>0.9</v>
      </c>
      <c r="S138" s="3" t="n">
        <v>1.2</v>
      </c>
      <c r="T138" s="3" t="n">
        <v>2</v>
      </c>
      <c r="U138" s="2" t="s">
        <v>1331</v>
      </c>
      <c r="V138" s="2" t="s">
        <v>40</v>
      </c>
      <c r="W138" s="2" t="s">
        <v>1134</v>
      </c>
      <c r="X138" s="4" t="s">
        <v>42</v>
      </c>
      <c r="Y138" s="2" t="n">
        <v>17427914</v>
      </c>
    </row>
    <row r="139" customFormat="false" ht="15" hidden="false" customHeight="false" outlineLevel="0" collapsed="false">
      <c r="A139" s="2" t="s">
        <v>305</v>
      </c>
      <c r="B139" s="2" t="s">
        <v>1332</v>
      </c>
      <c r="C139" s="2" t="s">
        <v>1333</v>
      </c>
      <c r="D139" s="2" t="s">
        <v>1334</v>
      </c>
      <c r="E139" s="2" t="s">
        <v>47</v>
      </c>
      <c r="F139" s="2" t="s">
        <v>48</v>
      </c>
      <c r="G139" s="2" t="s">
        <v>1335</v>
      </c>
      <c r="H139" s="2" t="s">
        <v>1336</v>
      </c>
      <c r="I139" s="2" t="s">
        <v>1337</v>
      </c>
      <c r="J139" s="2" t="s">
        <v>1338</v>
      </c>
      <c r="K139" s="2" t="s">
        <v>1339</v>
      </c>
      <c r="L139" s="2" t="s">
        <v>1340</v>
      </c>
      <c r="M139" s="2"/>
      <c r="N139" s="2"/>
      <c r="O139" s="2" t="s">
        <v>37</v>
      </c>
      <c r="P139" s="2" t="s">
        <v>38</v>
      </c>
      <c r="Q139" s="2"/>
      <c r="R139" s="3" t="n">
        <v>0.86</v>
      </c>
      <c r="S139" s="3" t="n">
        <v>1.2</v>
      </c>
      <c r="T139" s="3" t="n">
        <v>1.9</v>
      </c>
      <c r="U139" s="2" t="s">
        <v>1341</v>
      </c>
      <c r="V139" s="2" t="s">
        <v>40</v>
      </c>
      <c r="W139" s="2" t="s">
        <v>1134</v>
      </c>
      <c r="X139" s="4" t="s">
        <v>42</v>
      </c>
      <c r="Y139" s="2" t="n">
        <v>17427901</v>
      </c>
    </row>
    <row r="140" customFormat="false" ht="15" hidden="false" customHeight="false" outlineLevel="0" collapsed="false">
      <c r="A140" s="2" t="s">
        <v>1342</v>
      </c>
      <c r="B140" s="2" t="s">
        <v>1343</v>
      </c>
      <c r="C140" s="2" t="s">
        <v>27</v>
      </c>
      <c r="D140" s="2" t="s">
        <v>1344</v>
      </c>
      <c r="E140" s="2" t="s">
        <v>47</v>
      </c>
      <c r="F140" s="2" t="s">
        <v>30</v>
      </c>
      <c r="G140" s="2" t="s">
        <v>666</v>
      </c>
      <c r="H140" s="2" t="s">
        <v>1345</v>
      </c>
      <c r="I140" s="2" t="s">
        <v>1346</v>
      </c>
      <c r="J140" s="2" t="s">
        <v>1347</v>
      </c>
      <c r="K140" s="2" t="s">
        <v>1348</v>
      </c>
      <c r="L140" s="2" t="s">
        <v>53</v>
      </c>
      <c r="M140" s="2"/>
      <c r="N140" s="2"/>
      <c r="O140" s="2" t="s">
        <v>37</v>
      </c>
      <c r="P140" s="2" t="s">
        <v>38</v>
      </c>
      <c r="Q140" s="2"/>
      <c r="R140" s="3" t="n">
        <v>0.81</v>
      </c>
      <c r="S140" s="3" t="n">
        <v>1.2</v>
      </c>
      <c r="T140" s="3" t="n">
        <v>1.8</v>
      </c>
      <c r="U140" s="2" t="s">
        <v>1349</v>
      </c>
      <c r="V140" s="2" t="s">
        <v>40</v>
      </c>
      <c r="W140" s="2" t="s">
        <v>1134</v>
      </c>
      <c r="X140" s="4" t="s">
        <v>42</v>
      </c>
      <c r="Y140" s="2" t="n">
        <v>17427891</v>
      </c>
    </row>
    <row r="141" customFormat="false" ht="15" hidden="false" customHeight="false" outlineLevel="0" collapsed="false">
      <c r="A141" s="2" t="s">
        <v>1350</v>
      </c>
      <c r="B141" s="2" t="s">
        <v>1351</v>
      </c>
      <c r="C141" s="2" t="s">
        <v>45</v>
      </c>
      <c r="D141" s="2" t="s">
        <v>1352</v>
      </c>
      <c r="E141" s="2" t="s">
        <v>103</v>
      </c>
      <c r="F141" s="2" t="s">
        <v>165</v>
      </c>
      <c r="G141" s="2" t="s">
        <v>124</v>
      </c>
      <c r="H141" s="2" t="s">
        <v>1353</v>
      </c>
      <c r="I141" s="2" t="s">
        <v>1354</v>
      </c>
      <c r="J141" s="2" t="s">
        <v>1355</v>
      </c>
      <c r="K141" s="2" t="s">
        <v>45</v>
      </c>
      <c r="L141" s="2" t="s">
        <v>1054</v>
      </c>
      <c r="M141" s="2"/>
      <c r="N141" s="2"/>
      <c r="O141" s="2" t="s">
        <v>37</v>
      </c>
      <c r="P141" s="2" t="s">
        <v>38</v>
      </c>
      <c r="Q141" s="2"/>
      <c r="R141" s="3" t="n">
        <v>1</v>
      </c>
      <c r="S141" s="3" t="n">
        <v>1.2</v>
      </c>
      <c r="T141" s="3" t="n">
        <v>2.1</v>
      </c>
      <c r="U141" s="2" t="s">
        <v>1356</v>
      </c>
      <c r="V141" s="2" t="s">
        <v>40</v>
      </c>
      <c r="W141" s="2" t="s">
        <v>1134</v>
      </c>
      <c r="X141" s="4" t="s">
        <v>42</v>
      </c>
      <c r="Y141" s="2" t="n">
        <v>17427878</v>
      </c>
    </row>
    <row r="142" customFormat="false" ht="15" hidden="false" customHeight="false" outlineLevel="0" collapsed="false">
      <c r="A142" s="2" t="s">
        <v>1357</v>
      </c>
      <c r="B142" s="2" t="s">
        <v>1358</v>
      </c>
      <c r="C142" s="2" t="s">
        <v>27</v>
      </c>
      <c r="D142" s="2" t="s">
        <v>1359</v>
      </c>
      <c r="E142" s="2" t="s">
        <v>47</v>
      </c>
      <c r="F142" s="2" t="s">
        <v>30</v>
      </c>
      <c r="G142" s="2" t="s">
        <v>666</v>
      </c>
      <c r="H142" s="2" t="s">
        <v>1360</v>
      </c>
      <c r="I142" s="2" t="s">
        <v>1361</v>
      </c>
      <c r="J142" s="2" t="s">
        <v>1362</v>
      </c>
      <c r="K142" s="2" t="s">
        <v>1363</v>
      </c>
      <c r="L142" s="2" t="s">
        <v>1364</v>
      </c>
      <c r="M142" s="2"/>
      <c r="N142" s="2"/>
      <c r="O142" s="2" t="s">
        <v>37</v>
      </c>
      <c r="P142" s="2" t="s">
        <v>38</v>
      </c>
      <c r="Q142" s="2"/>
      <c r="R142" s="3" t="n">
        <v>0.9</v>
      </c>
      <c r="S142" s="3" t="n">
        <v>1.2</v>
      </c>
      <c r="T142" s="3" t="n">
        <v>2</v>
      </c>
      <c r="U142" s="2" t="s">
        <v>1365</v>
      </c>
      <c r="V142" s="2" t="s">
        <v>40</v>
      </c>
      <c r="W142" s="2" t="s">
        <v>1134</v>
      </c>
      <c r="X142" s="4" t="s">
        <v>42</v>
      </c>
      <c r="Y142" s="2" t="n">
        <v>17427822</v>
      </c>
    </row>
    <row r="143" customFormat="false" ht="15" hidden="false" customHeight="false" outlineLevel="0" collapsed="false">
      <c r="A143" s="2" t="s">
        <v>1366</v>
      </c>
      <c r="B143" s="2" t="s">
        <v>1367</v>
      </c>
      <c r="C143" s="2" t="s">
        <v>1368</v>
      </c>
      <c r="D143" s="2" t="s">
        <v>1369</v>
      </c>
      <c r="E143" s="2" t="s">
        <v>103</v>
      </c>
      <c r="F143" s="2" t="s">
        <v>165</v>
      </c>
      <c r="G143" s="2" t="s">
        <v>1370</v>
      </c>
      <c r="H143" s="2" t="s">
        <v>1371</v>
      </c>
      <c r="I143" s="2" t="s">
        <v>1372</v>
      </c>
      <c r="J143" s="2" t="s">
        <v>1373</v>
      </c>
      <c r="K143" s="2" t="s">
        <v>1374</v>
      </c>
      <c r="L143" s="2" t="s">
        <v>1206</v>
      </c>
      <c r="M143" s="2"/>
      <c r="N143" s="2"/>
      <c r="O143" s="2" t="s">
        <v>37</v>
      </c>
      <c r="P143" s="2" t="s">
        <v>38</v>
      </c>
      <c r="Q143" s="2"/>
      <c r="R143" s="3" t="n">
        <v>1</v>
      </c>
      <c r="S143" s="3" t="n">
        <v>1.2</v>
      </c>
      <c r="T143" s="3" t="n">
        <v>2.1</v>
      </c>
      <c r="U143" s="2" t="s">
        <v>422</v>
      </c>
      <c r="V143" s="2" t="s">
        <v>40</v>
      </c>
      <c r="W143" s="2" t="s">
        <v>1134</v>
      </c>
      <c r="X143" s="4" t="s">
        <v>42</v>
      </c>
      <c r="Y143" s="2" t="n">
        <v>17427777</v>
      </c>
    </row>
    <row r="144" customFormat="false" ht="15" hidden="false" customHeight="false" outlineLevel="0" collapsed="false">
      <c r="A144" s="2" t="s">
        <v>1375</v>
      </c>
      <c r="B144" s="2" t="s">
        <v>1376</v>
      </c>
      <c r="C144" s="2" t="s">
        <v>27</v>
      </c>
      <c r="D144" s="2" t="s">
        <v>1377</v>
      </c>
      <c r="E144" s="2" t="s">
        <v>47</v>
      </c>
      <c r="F144" s="2" t="s">
        <v>30</v>
      </c>
      <c r="G144" s="2" t="s">
        <v>59</v>
      </c>
      <c r="H144" s="2" t="s">
        <v>1378</v>
      </c>
      <c r="I144" s="2" t="s">
        <v>1379</v>
      </c>
      <c r="J144" s="2" t="s">
        <v>1380</v>
      </c>
      <c r="K144" s="2" t="s">
        <v>1381</v>
      </c>
      <c r="L144" s="2" t="s">
        <v>1382</v>
      </c>
      <c r="M144" s="2"/>
      <c r="N144" s="2"/>
      <c r="O144" s="2" t="s">
        <v>37</v>
      </c>
      <c r="P144" s="2" t="s">
        <v>38</v>
      </c>
      <c r="Q144" s="2"/>
      <c r="R144" s="3" t="n">
        <v>0.92</v>
      </c>
      <c r="S144" s="3" t="n">
        <v>1.2</v>
      </c>
      <c r="T144" s="3" t="n">
        <v>2</v>
      </c>
      <c r="U144" s="2" t="s">
        <v>1383</v>
      </c>
      <c r="V144" s="2" t="s">
        <v>40</v>
      </c>
      <c r="W144" s="2" t="s">
        <v>1134</v>
      </c>
      <c r="X144" s="4" t="s">
        <v>42</v>
      </c>
      <c r="Y144" s="2" t="n">
        <v>17427769</v>
      </c>
    </row>
    <row r="145" customFormat="false" ht="15" hidden="false" customHeight="false" outlineLevel="0" collapsed="false">
      <c r="A145" s="2" t="s">
        <v>1384</v>
      </c>
      <c r="B145" s="2" t="s">
        <v>1385</v>
      </c>
      <c r="C145" s="2" t="s">
        <v>27</v>
      </c>
      <c r="D145" s="2" t="s">
        <v>1386</v>
      </c>
      <c r="E145" s="2" t="s">
        <v>47</v>
      </c>
      <c r="F145" s="2" t="s">
        <v>48</v>
      </c>
      <c r="G145" s="2" t="s">
        <v>1387</v>
      </c>
      <c r="H145" s="2" t="s">
        <v>1388</v>
      </c>
      <c r="I145" s="2" t="s">
        <v>1389</v>
      </c>
      <c r="J145" s="2" t="s">
        <v>1390</v>
      </c>
      <c r="K145" s="2" t="s">
        <v>1391</v>
      </c>
      <c r="L145" s="2" t="s">
        <v>1392</v>
      </c>
      <c r="M145" s="2"/>
      <c r="N145" s="2"/>
      <c r="O145" s="2" t="s">
        <v>37</v>
      </c>
      <c r="P145" s="2" t="s">
        <v>38</v>
      </c>
      <c r="Q145" s="2"/>
      <c r="R145" s="3" t="n">
        <v>0.9</v>
      </c>
      <c r="S145" s="3" t="n">
        <v>1.2</v>
      </c>
      <c r="T145" s="3" t="n">
        <v>2</v>
      </c>
      <c r="U145" s="2" t="s">
        <v>1393</v>
      </c>
      <c r="V145" s="2" t="s">
        <v>40</v>
      </c>
      <c r="W145" s="2" t="s">
        <v>1134</v>
      </c>
      <c r="X145" s="4" t="s">
        <v>42</v>
      </c>
      <c r="Y145" s="2" t="n">
        <v>17427761</v>
      </c>
    </row>
    <row r="146" customFormat="false" ht="15" hidden="false" customHeight="false" outlineLevel="0" collapsed="false">
      <c r="A146" s="2" t="s">
        <v>1394</v>
      </c>
      <c r="B146" s="2" t="s">
        <v>1395</v>
      </c>
      <c r="C146" s="2" t="s">
        <v>27</v>
      </c>
      <c r="D146" s="2" t="s">
        <v>1396</v>
      </c>
      <c r="E146" s="2" t="s">
        <v>29</v>
      </c>
      <c r="F146" s="2" t="s">
        <v>30</v>
      </c>
      <c r="G146" s="2" t="s">
        <v>1397</v>
      </c>
      <c r="H146" s="2" t="s">
        <v>1398</v>
      </c>
      <c r="I146" s="2" t="s">
        <v>1399</v>
      </c>
      <c r="J146" s="2" t="s">
        <v>1400</v>
      </c>
      <c r="K146" s="2" t="s">
        <v>27</v>
      </c>
      <c r="L146" s="2" t="s">
        <v>1401</v>
      </c>
      <c r="M146" s="2"/>
      <c r="N146" s="2"/>
      <c r="O146" s="2" t="s">
        <v>37</v>
      </c>
      <c r="P146" s="2" t="s">
        <v>38</v>
      </c>
      <c r="Q146" s="2"/>
      <c r="R146" s="3" t="n">
        <v>0.8</v>
      </c>
      <c r="S146" s="3" t="n">
        <v>1.2</v>
      </c>
      <c r="T146" s="3" t="n">
        <v>1.8</v>
      </c>
      <c r="U146" s="2" t="s">
        <v>1402</v>
      </c>
      <c r="V146" s="2" t="s">
        <v>40</v>
      </c>
      <c r="W146" s="2" t="s">
        <v>1134</v>
      </c>
      <c r="X146" s="4" t="s">
        <v>42</v>
      </c>
      <c r="Y146" s="2" t="n">
        <v>17427759</v>
      </c>
    </row>
    <row r="147" customFormat="false" ht="15" hidden="false" customHeight="false" outlineLevel="0" collapsed="false">
      <c r="A147" s="2" t="s">
        <v>1403</v>
      </c>
      <c r="B147" s="2" t="s">
        <v>1404</v>
      </c>
      <c r="C147" s="2" t="s">
        <v>1405</v>
      </c>
      <c r="D147" s="2" t="s">
        <v>1406</v>
      </c>
      <c r="E147" s="2" t="s">
        <v>90</v>
      </c>
      <c r="F147" s="2" t="s">
        <v>48</v>
      </c>
      <c r="G147" s="2" t="s">
        <v>287</v>
      </c>
      <c r="H147" s="2"/>
      <c r="I147" s="2" t="s">
        <v>1407</v>
      </c>
      <c r="J147" s="2" t="s">
        <v>1408</v>
      </c>
      <c r="K147" s="2" t="s">
        <v>1409</v>
      </c>
      <c r="L147" s="2" t="s">
        <v>481</v>
      </c>
      <c r="M147" s="2"/>
      <c r="N147" s="2"/>
      <c r="O147" s="2" t="s">
        <v>37</v>
      </c>
      <c r="P147" s="2" t="s">
        <v>38</v>
      </c>
      <c r="Q147" s="2"/>
      <c r="R147" s="3" t="n">
        <v>1</v>
      </c>
      <c r="S147" s="3" t="n">
        <v>1.2</v>
      </c>
      <c r="T147" s="3" t="n">
        <v>2.1</v>
      </c>
      <c r="U147" s="2" t="s">
        <v>1410</v>
      </c>
      <c r="V147" s="2" t="s">
        <v>40</v>
      </c>
      <c r="W147" s="2" t="s">
        <v>1134</v>
      </c>
      <c r="X147" s="4" t="s">
        <v>42</v>
      </c>
      <c r="Y147" s="2" t="n">
        <v>17427742</v>
      </c>
    </row>
    <row r="148" customFormat="false" ht="15" hidden="false" customHeight="false" outlineLevel="0" collapsed="false">
      <c r="A148" s="2" t="s">
        <v>1411</v>
      </c>
      <c r="B148" s="2" t="s">
        <v>1412</v>
      </c>
      <c r="C148" s="2" t="s">
        <v>27</v>
      </c>
      <c r="D148" s="2" t="s">
        <v>1413</v>
      </c>
      <c r="E148" s="2" t="s">
        <v>103</v>
      </c>
      <c r="F148" s="2" t="s">
        <v>30</v>
      </c>
      <c r="G148" s="2" t="s">
        <v>1414</v>
      </c>
      <c r="H148" s="2" t="s">
        <v>1415</v>
      </c>
      <c r="I148" s="2" t="s">
        <v>1416</v>
      </c>
      <c r="J148" s="2" t="s">
        <v>1417</v>
      </c>
      <c r="K148" s="2" t="s">
        <v>27</v>
      </c>
      <c r="L148" s="2" t="s">
        <v>1418</v>
      </c>
      <c r="M148" s="2"/>
      <c r="N148" s="2"/>
      <c r="O148" s="2" t="s">
        <v>37</v>
      </c>
      <c r="P148" s="2" t="s">
        <v>38</v>
      </c>
      <c r="Q148" s="2"/>
      <c r="R148" s="3" t="n">
        <v>0.93</v>
      </c>
      <c r="S148" s="3" t="n">
        <v>1.2</v>
      </c>
      <c r="T148" s="3" t="n">
        <v>2</v>
      </c>
      <c r="U148" s="2" t="s">
        <v>1419</v>
      </c>
      <c r="V148" s="2" t="s">
        <v>40</v>
      </c>
      <c r="W148" s="2" t="s">
        <v>1134</v>
      </c>
      <c r="X148" s="4" t="s">
        <v>42</v>
      </c>
      <c r="Y148" s="2" t="n">
        <v>17427740</v>
      </c>
    </row>
    <row r="149" customFormat="false" ht="15" hidden="false" customHeight="false" outlineLevel="0" collapsed="false">
      <c r="A149" s="2" t="s">
        <v>1420</v>
      </c>
      <c r="B149" s="2" t="s">
        <v>1421</v>
      </c>
      <c r="C149" s="2" t="s">
        <v>101</v>
      </c>
      <c r="D149" s="2" t="s">
        <v>1422</v>
      </c>
      <c r="E149" s="2" t="s">
        <v>90</v>
      </c>
      <c r="F149" s="2" t="s">
        <v>30</v>
      </c>
      <c r="G149" s="2" t="s">
        <v>1423</v>
      </c>
      <c r="H149" s="2" t="s">
        <v>1424</v>
      </c>
      <c r="I149" s="2" t="s">
        <v>1425</v>
      </c>
      <c r="J149" s="2" t="s">
        <v>1426</v>
      </c>
      <c r="K149" s="2" t="s">
        <v>1427</v>
      </c>
      <c r="L149" s="2" t="s">
        <v>1428</v>
      </c>
      <c r="M149" s="2"/>
      <c r="N149" s="2"/>
      <c r="O149" s="2" t="s">
        <v>37</v>
      </c>
      <c r="P149" s="2" t="s">
        <v>38</v>
      </c>
      <c r="Q149" s="2"/>
      <c r="R149" s="3" t="n">
        <v>1</v>
      </c>
      <c r="S149" s="3" t="n">
        <v>1.2</v>
      </c>
      <c r="T149" s="3" t="n">
        <v>2.1</v>
      </c>
      <c r="U149" s="2" t="s">
        <v>1429</v>
      </c>
      <c r="V149" s="2" t="s">
        <v>40</v>
      </c>
      <c r="W149" s="2" t="s">
        <v>1134</v>
      </c>
      <c r="X149" s="4" t="s">
        <v>42</v>
      </c>
      <c r="Y149" s="2" t="n">
        <v>17427738</v>
      </c>
    </row>
    <row r="150" customFormat="false" ht="15" hidden="false" customHeight="false" outlineLevel="0" collapsed="false">
      <c r="A150" s="2" t="s">
        <v>1430</v>
      </c>
      <c r="B150" s="2" t="s">
        <v>1431</v>
      </c>
      <c r="C150" s="2" t="s">
        <v>1432</v>
      </c>
      <c r="D150" s="2" t="s">
        <v>1433</v>
      </c>
      <c r="E150" s="2" t="s">
        <v>47</v>
      </c>
      <c r="F150" s="2" t="s">
        <v>30</v>
      </c>
      <c r="G150" s="2" t="s">
        <v>1434</v>
      </c>
      <c r="H150" s="2" t="s">
        <v>1435</v>
      </c>
      <c r="I150" s="2" t="s">
        <v>1436</v>
      </c>
      <c r="J150" s="2" t="s">
        <v>1437</v>
      </c>
      <c r="K150" s="2" t="s">
        <v>1438</v>
      </c>
      <c r="L150" s="2" t="s">
        <v>1439</v>
      </c>
      <c r="M150" s="2"/>
      <c r="N150" s="2"/>
      <c r="O150" s="2" t="s">
        <v>1440</v>
      </c>
      <c r="P150" s="2" t="s">
        <v>1441</v>
      </c>
      <c r="Q150" s="2" t="s">
        <v>1442</v>
      </c>
      <c r="R150" s="3" t="n">
        <v>0.89</v>
      </c>
      <c r="S150" s="3" t="n">
        <v>1.1</v>
      </c>
      <c r="T150" s="3" t="n">
        <v>1.9</v>
      </c>
      <c r="U150" s="2" t="s">
        <v>1443</v>
      </c>
      <c r="V150" s="2" t="s">
        <v>40</v>
      </c>
      <c r="W150" s="2" t="s">
        <v>1444</v>
      </c>
      <c r="X150" s="4" t="s">
        <v>42</v>
      </c>
      <c r="Y150" s="2" t="n">
        <v>17254066</v>
      </c>
    </row>
    <row r="151" customFormat="false" ht="15" hidden="false" customHeight="false" outlineLevel="0" collapsed="false">
      <c r="A151" s="2" t="s">
        <v>1445</v>
      </c>
      <c r="B151" s="2" t="s">
        <v>1446</v>
      </c>
      <c r="C151" s="2" t="s">
        <v>45</v>
      </c>
      <c r="D151" s="2" t="s">
        <v>1447</v>
      </c>
      <c r="E151" s="2" t="s">
        <v>90</v>
      </c>
      <c r="F151" s="2" t="s">
        <v>30</v>
      </c>
      <c r="G151" s="2" t="s">
        <v>59</v>
      </c>
      <c r="H151" s="2" t="s">
        <v>1448</v>
      </c>
      <c r="I151" s="2" t="s">
        <v>1449</v>
      </c>
      <c r="J151" s="2" t="s">
        <v>1450</v>
      </c>
      <c r="K151" s="2" t="s">
        <v>1451</v>
      </c>
      <c r="L151" s="2" t="s">
        <v>1452</v>
      </c>
      <c r="M151" s="2"/>
      <c r="N151" s="2"/>
      <c r="O151" s="2" t="s">
        <v>1440</v>
      </c>
      <c r="P151" s="2" t="s">
        <v>1453</v>
      </c>
      <c r="Q151" s="2" t="s">
        <v>1454</v>
      </c>
      <c r="R151" s="3" t="n">
        <v>0.9</v>
      </c>
      <c r="S151" s="3" t="n">
        <v>1.1</v>
      </c>
      <c r="T151" s="3" t="n">
        <v>1.9</v>
      </c>
      <c r="U151" s="2" t="s">
        <v>1455</v>
      </c>
      <c r="V151" s="2" t="s">
        <v>40</v>
      </c>
      <c r="W151" s="2" t="s">
        <v>1456</v>
      </c>
      <c r="X151" s="4" t="s">
        <v>42</v>
      </c>
      <c r="Y151" s="2" t="n">
        <v>17076090</v>
      </c>
    </row>
    <row r="152" customFormat="false" ht="15" hidden="false" customHeight="false" outlineLevel="0" collapsed="false">
      <c r="A152" s="2" t="s">
        <v>1457</v>
      </c>
      <c r="B152" s="2" t="s">
        <v>1458</v>
      </c>
      <c r="C152" s="2" t="s">
        <v>175</v>
      </c>
      <c r="D152" s="2" t="s">
        <v>1459</v>
      </c>
      <c r="E152" s="2" t="s">
        <v>244</v>
      </c>
      <c r="F152" s="2" t="s">
        <v>1460</v>
      </c>
      <c r="G152" s="2" t="s">
        <v>287</v>
      </c>
      <c r="H152" s="2" t="s">
        <v>1461</v>
      </c>
      <c r="I152" s="2" t="s">
        <v>1462</v>
      </c>
      <c r="J152" s="2" t="s">
        <v>1463</v>
      </c>
      <c r="K152" s="2" t="s">
        <v>1464</v>
      </c>
      <c r="L152" s="2" t="s">
        <v>1465</v>
      </c>
      <c r="M152" s="2"/>
      <c r="N152" s="2"/>
      <c r="O152" s="2" t="s">
        <v>1466</v>
      </c>
      <c r="P152" s="2" t="s">
        <v>1467</v>
      </c>
      <c r="Q152" s="2"/>
      <c r="R152" s="3" t="n">
        <v>0.98</v>
      </c>
      <c r="S152" s="3" t="n">
        <v>1</v>
      </c>
      <c r="T152" s="3" t="n">
        <v>2</v>
      </c>
      <c r="U152" s="2"/>
      <c r="V152" s="2" t="s">
        <v>40</v>
      </c>
      <c r="W152" s="2" t="s">
        <v>1468</v>
      </c>
      <c r="X152" s="4" t="s">
        <v>42</v>
      </c>
      <c r="Y152" s="2" t="n">
        <v>17038134</v>
      </c>
    </row>
    <row r="153" customFormat="false" ht="15" hidden="false" customHeight="false" outlineLevel="0" collapsed="false">
      <c r="A153" s="2" t="s">
        <v>1469</v>
      </c>
      <c r="B153" s="2" t="s">
        <v>1470</v>
      </c>
      <c r="C153" s="2" t="s">
        <v>175</v>
      </c>
      <c r="D153" s="2" t="s">
        <v>1471</v>
      </c>
      <c r="E153" s="2" t="s">
        <v>244</v>
      </c>
      <c r="F153" s="2" t="s">
        <v>1460</v>
      </c>
      <c r="G153" s="2" t="s">
        <v>756</v>
      </c>
      <c r="H153" s="2" t="s">
        <v>1472</v>
      </c>
      <c r="I153" s="2" t="s">
        <v>1473</v>
      </c>
      <c r="J153" s="2" t="s">
        <v>1474</v>
      </c>
      <c r="K153" s="2" t="s">
        <v>1475</v>
      </c>
      <c r="L153" s="2" t="s">
        <v>1476</v>
      </c>
      <c r="M153" s="2"/>
      <c r="N153" s="2"/>
      <c r="O153" s="2" t="s">
        <v>1466</v>
      </c>
      <c r="P153" s="2" t="s">
        <v>1467</v>
      </c>
      <c r="Q153" s="2"/>
      <c r="R153" s="3" t="n">
        <v>0.98</v>
      </c>
      <c r="S153" s="3" t="n">
        <v>1</v>
      </c>
      <c r="T153" s="3" t="n">
        <v>2</v>
      </c>
      <c r="U153" s="2"/>
      <c r="V153" s="2" t="s">
        <v>40</v>
      </c>
      <c r="W153" s="2" t="s">
        <v>1468</v>
      </c>
      <c r="X153" s="4" t="s">
        <v>42</v>
      </c>
      <c r="Y153" s="2" t="n">
        <v>17038133</v>
      </c>
    </row>
    <row r="154" customFormat="false" ht="15" hidden="false" customHeight="false" outlineLevel="0" collapsed="false">
      <c r="A154" s="2" t="s">
        <v>1477</v>
      </c>
      <c r="B154" s="2" t="s">
        <v>1478</v>
      </c>
      <c r="C154" s="2" t="s">
        <v>175</v>
      </c>
      <c r="D154" s="2" t="s">
        <v>1479</v>
      </c>
      <c r="E154" s="2" t="s">
        <v>90</v>
      </c>
      <c r="F154" s="2" t="s">
        <v>165</v>
      </c>
      <c r="G154" s="2" t="s">
        <v>544</v>
      </c>
      <c r="H154" s="2"/>
      <c r="I154" s="2" t="s">
        <v>1480</v>
      </c>
      <c r="J154" s="2" t="s">
        <v>1481</v>
      </c>
      <c r="K154" s="2" t="s">
        <v>1482</v>
      </c>
      <c r="L154" s="2" t="s">
        <v>1483</v>
      </c>
      <c r="M154" s="2"/>
      <c r="N154" s="2"/>
      <c r="O154" s="2" t="s">
        <v>1466</v>
      </c>
      <c r="P154" s="2" t="s">
        <v>1467</v>
      </c>
      <c r="Q154" s="2"/>
      <c r="R154" s="3" t="n">
        <v>0.98</v>
      </c>
      <c r="S154" s="3" t="n">
        <v>1</v>
      </c>
      <c r="T154" s="3" t="n">
        <v>2</v>
      </c>
      <c r="U154" s="2"/>
      <c r="V154" s="2" t="s">
        <v>40</v>
      </c>
      <c r="W154" s="2" t="s">
        <v>1468</v>
      </c>
      <c r="X154" s="4" t="s">
        <v>42</v>
      </c>
      <c r="Y154" s="2" t="n">
        <v>17038132</v>
      </c>
    </row>
    <row r="155" customFormat="false" ht="15" hidden="false" customHeight="false" outlineLevel="0" collapsed="false">
      <c r="A155" s="2" t="s">
        <v>1484</v>
      </c>
      <c r="B155" s="2" t="s">
        <v>1485</v>
      </c>
      <c r="C155" s="2" t="s">
        <v>163</v>
      </c>
      <c r="D155" s="2" t="s">
        <v>1486</v>
      </c>
      <c r="E155" s="2" t="s">
        <v>90</v>
      </c>
      <c r="F155" s="2" t="s">
        <v>1487</v>
      </c>
      <c r="G155" s="2" t="s">
        <v>836</v>
      </c>
      <c r="H155" s="2" t="s">
        <v>1488</v>
      </c>
      <c r="I155" s="2" t="s">
        <v>1489</v>
      </c>
      <c r="J155" s="2" t="s">
        <v>1490</v>
      </c>
      <c r="K155" s="2" t="s">
        <v>1491</v>
      </c>
      <c r="L155" s="2" t="s">
        <v>1492</v>
      </c>
      <c r="M155" s="2"/>
      <c r="N155" s="2"/>
      <c r="O155" s="2" t="s">
        <v>1466</v>
      </c>
      <c r="P155" s="2" t="s">
        <v>1467</v>
      </c>
      <c r="Q155" s="2"/>
      <c r="R155" s="3" t="n">
        <v>0.98</v>
      </c>
      <c r="S155" s="3" t="n">
        <v>1</v>
      </c>
      <c r="T155" s="3" t="n">
        <v>2</v>
      </c>
      <c r="U155" s="2"/>
      <c r="V155" s="2" t="s">
        <v>40</v>
      </c>
      <c r="W155" s="2" t="s">
        <v>1468</v>
      </c>
      <c r="X155" s="4" t="s">
        <v>42</v>
      </c>
      <c r="Y155" s="2" t="n">
        <v>17038131</v>
      </c>
    </row>
    <row r="156" customFormat="false" ht="15" hidden="false" customHeight="false" outlineLevel="0" collapsed="false">
      <c r="A156" s="2" t="s">
        <v>1493</v>
      </c>
      <c r="B156" s="2" t="s">
        <v>1494</v>
      </c>
      <c r="C156" s="2" t="s">
        <v>1495</v>
      </c>
      <c r="D156" s="2" t="s">
        <v>1496</v>
      </c>
      <c r="E156" s="2" t="s">
        <v>90</v>
      </c>
      <c r="F156" s="2" t="s">
        <v>48</v>
      </c>
      <c r="G156" s="2" t="s">
        <v>1497</v>
      </c>
      <c r="H156" s="2" t="s">
        <v>1498</v>
      </c>
      <c r="I156" s="2" t="s">
        <v>1499</v>
      </c>
      <c r="J156" s="2" t="s">
        <v>1500</v>
      </c>
      <c r="K156" s="2" t="s">
        <v>1501</v>
      </c>
      <c r="L156" s="2" t="s">
        <v>1502</v>
      </c>
      <c r="M156" s="2"/>
      <c r="N156" s="2"/>
      <c r="O156" s="2" t="s">
        <v>1466</v>
      </c>
      <c r="P156" s="2" t="s">
        <v>1467</v>
      </c>
      <c r="Q156" s="2"/>
      <c r="R156" s="3" t="n">
        <v>0.98</v>
      </c>
      <c r="S156" s="3" t="n">
        <v>1</v>
      </c>
      <c r="T156" s="3" t="n">
        <v>2</v>
      </c>
      <c r="U156" s="2"/>
      <c r="V156" s="2" t="s">
        <v>40</v>
      </c>
      <c r="W156" s="2" t="s">
        <v>1468</v>
      </c>
      <c r="X156" s="4" t="s">
        <v>42</v>
      </c>
      <c r="Y156" s="2" t="n">
        <v>17038130</v>
      </c>
    </row>
    <row r="157" customFormat="false" ht="15" hidden="false" customHeight="false" outlineLevel="0" collapsed="false">
      <c r="A157" s="2" t="s">
        <v>1503</v>
      </c>
      <c r="B157" s="2" t="s">
        <v>1504</v>
      </c>
      <c r="C157" s="2" t="s">
        <v>175</v>
      </c>
      <c r="D157" s="2" t="s">
        <v>1505</v>
      </c>
      <c r="E157" s="2" t="s">
        <v>244</v>
      </c>
      <c r="F157" s="2" t="s">
        <v>165</v>
      </c>
      <c r="G157" s="2" t="s">
        <v>1506</v>
      </c>
      <c r="H157" s="2"/>
      <c r="I157" s="2" t="s">
        <v>1507</v>
      </c>
      <c r="J157" s="2" t="s">
        <v>1508</v>
      </c>
      <c r="K157" s="2" t="s">
        <v>1509</v>
      </c>
      <c r="L157" s="2" t="s">
        <v>1510</v>
      </c>
      <c r="M157" s="2"/>
      <c r="N157" s="2"/>
      <c r="O157" s="2" t="s">
        <v>1466</v>
      </c>
      <c r="P157" s="2" t="s">
        <v>1467</v>
      </c>
      <c r="Q157" s="2"/>
      <c r="R157" s="3" t="n">
        <v>0.98</v>
      </c>
      <c r="S157" s="3" t="n">
        <v>1</v>
      </c>
      <c r="T157" s="3" t="n">
        <v>2</v>
      </c>
      <c r="U157" s="2"/>
      <c r="V157" s="2" t="s">
        <v>40</v>
      </c>
      <c r="W157" s="2" t="s">
        <v>1468</v>
      </c>
      <c r="X157" s="4" t="s">
        <v>42</v>
      </c>
      <c r="Y157" s="2" t="n">
        <v>17038129</v>
      </c>
    </row>
    <row r="158" customFormat="false" ht="15" hidden="false" customHeight="false" outlineLevel="0" collapsed="false">
      <c r="A158" s="2" t="s">
        <v>680</v>
      </c>
      <c r="B158" s="2" t="s">
        <v>1511</v>
      </c>
      <c r="C158" s="2" t="s">
        <v>175</v>
      </c>
      <c r="D158" s="2" t="s">
        <v>1512</v>
      </c>
      <c r="E158" s="2" t="s">
        <v>255</v>
      </c>
      <c r="F158" s="2" t="s">
        <v>1460</v>
      </c>
      <c r="G158" s="2" t="s">
        <v>1513</v>
      </c>
      <c r="H158" s="2" t="s">
        <v>1514</v>
      </c>
      <c r="I158" s="2" t="s">
        <v>1515</v>
      </c>
      <c r="J158" s="2" t="s">
        <v>1516</v>
      </c>
      <c r="K158" s="2" t="s">
        <v>1517</v>
      </c>
      <c r="L158" s="2" t="s">
        <v>862</v>
      </c>
      <c r="M158" s="2"/>
      <c r="N158" s="2"/>
      <c r="O158" s="2" t="s">
        <v>1466</v>
      </c>
      <c r="P158" s="2" t="s">
        <v>1467</v>
      </c>
      <c r="Q158" s="2"/>
      <c r="R158" s="3" t="n">
        <v>1</v>
      </c>
      <c r="S158" s="3" t="n">
        <v>1</v>
      </c>
      <c r="T158" s="3" t="n">
        <v>2</v>
      </c>
      <c r="U158" s="2"/>
      <c r="V158" s="2" t="s">
        <v>40</v>
      </c>
      <c r="W158" s="2" t="s">
        <v>1468</v>
      </c>
      <c r="X158" s="4" t="s">
        <v>42</v>
      </c>
      <c r="Y158" s="2" t="n">
        <v>17038127</v>
      </c>
    </row>
    <row r="159" customFormat="false" ht="15" hidden="false" customHeight="false" outlineLevel="0" collapsed="false">
      <c r="A159" s="2" t="s">
        <v>1518</v>
      </c>
      <c r="B159" s="2" t="s">
        <v>1519</v>
      </c>
      <c r="C159" s="2" t="s">
        <v>1520</v>
      </c>
      <c r="D159" s="2"/>
      <c r="E159" s="2"/>
      <c r="F159" s="2" t="s">
        <v>1460</v>
      </c>
      <c r="G159" s="2" t="s">
        <v>1521</v>
      </c>
      <c r="H159" s="2"/>
      <c r="I159" s="2" t="s">
        <v>1522</v>
      </c>
      <c r="J159" s="2"/>
      <c r="K159" s="2" t="s">
        <v>1523</v>
      </c>
      <c r="L159" s="2" t="s">
        <v>1524</v>
      </c>
      <c r="M159" s="2"/>
      <c r="N159" s="2"/>
      <c r="O159" s="2" t="s">
        <v>1466</v>
      </c>
      <c r="P159" s="2" t="s">
        <v>1467</v>
      </c>
      <c r="Q159" s="2"/>
      <c r="R159" s="3" t="n">
        <v>0.86</v>
      </c>
      <c r="S159" s="3" t="n">
        <v>1</v>
      </c>
      <c r="T159" s="3" t="n">
        <v>1.8</v>
      </c>
      <c r="U159" s="2"/>
      <c r="V159" s="2" t="s">
        <v>40</v>
      </c>
      <c r="W159" s="2" t="s">
        <v>1525</v>
      </c>
      <c r="X159" s="4" t="s">
        <v>42</v>
      </c>
      <c r="Y159" s="2" t="n">
        <v>16823524</v>
      </c>
    </row>
    <row r="160" customFormat="false" ht="15" hidden="false" customHeight="false" outlineLevel="0" collapsed="false">
      <c r="A160" s="2" t="s">
        <v>1526</v>
      </c>
      <c r="B160" s="2" t="s">
        <v>1527</v>
      </c>
      <c r="C160" s="2" t="s">
        <v>542</v>
      </c>
      <c r="D160" s="2" t="s">
        <v>1528</v>
      </c>
      <c r="E160" s="2" t="s">
        <v>90</v>
      </c>
      <c r="F160" s="2" t="s">
        <v>30</v>
      </c>
      <c r="G160" s="2" t="s">
        <v>1529</v>
      </c>
      <c r="H160" s="2"/>
      <c r="I160" s="2" t="s">
        <v>1530</v>
      </c>
      <c r="J160" s="2" t="s">
        <v>1531</v>
      </c>
      <c r="K160" s="2" t="s">
        <v>1532</v>
      </c>
      <c r="L160" s="2" t="s">
        <v>1533</v>
      </c>
      <c r="M160" s="2"/>
      <c r="N160" s="2"/>
      <c r="O160" s="2" t="s">
        <v>1466</v>
      </c>
      <c r="P160" s="2" t="s">
        <v>1467</v>
      </c>
      <c r="Q160" s="2"/>
      <c r="R160" s="3" t="n">
        <v>0.86</v>
      </c>
      <c r="S160" s="3" t="n">
        <v>1</v>
      </c>
      <c r="T160" s="3" t="n">
        <v>1.8</v>
      </c>
      <c r="U160" s="2"/>
      <c r="V160" s="2" t="s">
        <v>40</v>
      </c>
      <c r="W160" s="2" t="s">
        <v>1525</v>
      </c>
      <c r="X160" s="4" t="s">
        <v>42</v>
      </c>
      <c r="Y160" s="2" t="n">
        <v>16823523</v>
      </c>
    </row>
    <row r="161" customFormat="false" ht="15" hidden="false" customHeight="false" outlineLevel="0" collapsed="false">
      <c r="A161" s="2" t="s">
        <v>1534</v>
      </c>
      <c r="B161" s="2" t="s">
        <v>1535</v>
      </c>
      <c r="C161" s="2" t="s">
        <v>1536</v>
      </c>
      <c r="D161" s="2" t="s">
        <v>1537</v>
      </c>
      <c r="E161" s="2" t="s">
        <v>244</v>
      </c>
      <c r="F161" s="2" t="s">
        <v>30</v>
      </c>
      <c r="G161" s="2" t="s">
        <v>437</v>
      </c>
      <c r="H161" s="2" t="s">
        <v>1538</v>
      </c>
      <c r="I161" s="2" t="s">
        <v>1539</v>
      </c>
      <c r="J161" s="2" t="s">
        <v>1540</v>
      </c>
      <c r="K161" s="2" t="s">
        <v>1541</v>
      </c>
      <c r="L161" s="2" t="s">
        <v>1542</v>
      </c>
      <c r="M161" s="2"/>
      <c r="N161" s="2"/>
      <c r="O161" s="2" t="s">
        <v>1466</v>
      </c>
      <c r="P161" s="2" t="s">
        <v>1467</v>
      </c>
      <c r="Q161" s="2"/>
      <c r="R161" s="3" t="n">
        <v>0.86</v>
      </c>
      <c r="S161" s="3" t="n">
        <v>1</v>
      </c>
      <c r="T161" s="3" t="n">
        <v>1.8</v>
      </c>
      <c r="U161" s="2"/>
      <c r="V161" s="2" t="s">
        <v>40</v>
      </c>
      <c r="W161" s="2" t="s">
        <v>1525</v>
      </c>
      <c r="X161" s="4" t="s">
        <v>42</v>
      </c>
      <c r="Y161" s="2" t="n">
        <v>16823522</v>
      </c>
    </row>
    <row r="162" customFormat="false" ht="15" hidden="false" customHeight="false" outlineLevel="0" collapsed="false">
      <c r="A162" s="2" t="s">
        <v>1543</v>
      </c>
      <c r="B162" s="2" t="s">
        <v>1544</v>
      </c>
      <c r="C162" s="2" t="s">
        <v>307</v>
      </c>
      <c r="D162" s="2" t="s">
        <v>1545</v>
      </c>
      <c r="E162" s="2" t="s">
        <v>90</v>
      </c>
      <c r="F162" s="2" t="s">
        <v>30</v>
      </c>
      <c r="G162" s="2" t="s">
        <v>49</v>
      </c>
      <c r="H162" s="2" t="s">
        <v>1546</v>
      </c>
      <c r="I162" s="2" t="s">
        <v>1547</v>
      </c>
      <c r="J162" s="2" t="s">
        <v>1548</v>
      </c>
      <c r="K162" s="2" t="s">
        <v>307</v>
      </c>
      <c r="L162" s="2" t="s">
        <v>1549</v>
      </c>
      <c r="M162" s="2"/>
      <c r="N162" s="2"/>
      <c r="O162" s="2" t="s">
        <v>1466</v>
      </c>
      <c r="P162" s="2" t="s">
        <v>1467</v>
      </c>
      <c r="Q162" s="2"/>
      <c r="R162" s="3" t="n">
        <v>0.89</v>
      </c>
      <c r="S162" s="3" t="n">
        <v>1</v>
      </c>
      <c r="T162" s="3" t="n">
        <v>1.8</v>
      </c>
      <c r="U162" s="2"/>
      <c r="V162" s="2" t="s">
        <v>40</v>
      </c>
      <c r="W162" s="2" t="s">
        <v>1525</v>
      </c>
      <c r="X162" s="4" t="s">
        <v>42</v>
      </c>
      <c r="Y162" s="2" t="n">
        <v>16823521</v>
      </c>
    </row>
    <row r="163" customFormat="false" ht="15" hidden="false" customHeight="false" outlineLevel="0" collapsed="false">
      <c r="A163" s="2" t="s">
        <v>1550</v>
      </c>
      <c r="B163" s="2" t="s">
        <v>1551</v>
      </c>
      <c r="C163" s="2" t="s">
        <v>1552</v>
      </c>
      <c r="D163" s="2" t="s">
        <v>1553</v>
      </c>
      <c r="E163" s="2" t="s">
        <v>244</v>
      </c>
      <c r="F163" s="2" t="s">
        <v>165</v>
      </c>
      <c r="G163" s="2" t="s">
        <v>389</v>
      </c>
      <c r="H163" s="2" t="s">
        <v>1554</v>
      </c>
      <c r="I163" s="2" t="s">
        <v>1555</v>
      </c>
      <c r="J163" s="2" t="s">
        <v>1556</v>
      </c>
      <c r="K163" s="2" t="s">
        <v>1557</v>
      </c>
      <c r="L163" s="2" t="s">
        <v>1558</v>
      </c>
      <c r="M163" s="2"/>
      <c r="N163" s="2"/>
      <c r="O163" s="2" t="s">
        <v>1466</v>
      </c>
      <c r="P163" s="2" t="s">
        <v>1467</v>
      </c>
      <c r="Q163" s="2"/>
      <c r="R163" s="3" t="n">
        <v>0.91</v>
      </c>
      <c r="S163" s="3" t="n">
        <v>1</v>
      </c>
      <c r="T163" s="3" t="n">
        <v>1.9</v>
      </c>
      <c r="U163" s="2"/>
      <c r="V163" s="2" t="s">
        <v>40</v>
      </c>
      <c r="W163" s="2" t="s">
        <v>1525</v>
      </c>
      <c r="X163" s="4" t="s">
        <v>42</v>
      </c>
      <c r="Y163" s="2" t="n">
        <v>16823519</v>
      </c>
    </row>
    <row r="164" customFormat="false" ht="15" hidden="false" customHeight="false" outlineLevel="0" collapsed="false">
      <c r="A164" s="2" t="s">
        <v>376</v>
      </c>
      <c r="B164" s="2" t="s">
        <v>1559</v>
      </c>
      <c r="C164" s="2" t="s">
        <v>1560</v>
      </c>
      <c r="D164" s="2" t="s">
        <v>1561</v>
      </c>
      <c r="E164" s="2" t="s">
        <v>244</v>
      </c>
      <c r="F164" s="2" t="s">
        <v>165</v>
      </c>
      <c r="G164" s="2" t="s">
        <v>1562</v>
      </c>
      <c r="H164" s="2"/>
      <c r="I164" s="2" t="s">
        <v>1563</v>
      </c>
      <c r="J164" s="2" t="s">
        <v>1564</v>
      </c>
      <c r="K164" s="2" t="s">
        <v>1565</v>
      </c>
      <c r="L164" s="2" t="s">
        <v>53</v>
      </c>
      <c r="M164" s="2"/>
      <c r="N164" s="2"/>
      <c r="O164" s="2" t="s">
        <v>1466</v>
      </c>
      <c r="P164" s="2" t="s">
        <v>1467</v>
      </c>
      <c r="Q164" s="2"/>
      <c r="R164" s="3" t="n">
        <v>0.91</v>
      </c>
      <c r="S164" s="3" t="n">
        <v>1</v>
      </c>
      <c r="T164" s="3" t="n">
        <v>1.9</v>
      </c>
      <c r="U164" s="2"/>
      <c r="V164" s="2" t="s">
        <v>40</v>
      </c>
      <c r="W164" s="2" t="s">
        <v>1525</v>
      </c>
      <c r="X164" s="4" t="s">
        <v>42</v>
      </c>
      <c r="Y164" s="2" t="n">
        <v>16823518</v>
      </c>
    </row>
    <row r="165" customFormat="false" ht="15" hidden="false" customHeight="false" outlineLevel="0" collapsed="false">
      <c r="A165" s="2" t="s">
        <v>1430</v>
      </c>
      <c r="B165" s="2" t="s">
        <v>1566</v>
      </c>
      <c r="C165" s="2" t="s">
        <v>1567</v>
      </c>
      <c r="D165" s="2" t="s">
        <v>1568</v>
      </c>
      <c r="E165" s="2" t="s">
        <v>90</v>
      </c>
      <c r="F165" s="2" t="s">
        <v>48</v>
      </c>
      <c r="G165" s="2" t="s">
        <v>1569</v>
      </c>
      <c r="H165" s="2"/>
      <c r="I165" s="2" t="s">
        <v>1570</v>
      </c>
      <c r="J165" s="2" t="s">
        <v>1571</v>
      </c>
      <c r="K165" s="2" t="s">
        <v>1572</v>
      </c>
      <c r="L165" s="2" t="s">
        <v>1573</v>
      </c>
      <c r="M165" s="2"/>
      <c r="N165" s="2"/>
      <c r="O165" s="2" t="s">
        <v>1466</v>
      </c>
      <c r="P165" s="2" t="s">
        <v>1467</v>
      </c>
      <c r="Q165" s="2"/>
      <c r="R165" s="3" t="n">
        <v>0.91</v>
      </c>
      <c r="S165" s="3" t="n">
        <v>1</v>
      </c>
      <c r="T165" s="3" t="n">
        <v>1.9</v>
      </c>
      <c r="U165" s="2"/>
      <c r="V165" s="2" t="s">
        <v>40</v>
      </c>
      <c r="W165" s="2" t="s">
        <v>1525</v>
      </c>
      <c r="X165" s="4" t="s">
        <v>42</v>
      </c>
      <c r="Y165" s="2" t="n">
        <v>16823516</v>
      </c>
    </row>
    <row r="166" customFormat="false" ht="15" hidden="false" customHeight="false" outlineLevel="0" collapsed="false">
      <c r="A166" s="2" t="s">
        <v>1574</v>
      </c>
      <c r="B166" s="2" t="s">
        <v>1575</v>
      </c>
      <c r="C166" s="2" t="s">
        <v>1576</v>
      </c>
      <c r="D166" s="2" t="s">
        <v>1577</v>
      </c>
      <c r="E166" s="2" t="s">
        <v>103</v>
      </c>
      <c r="F166" s="2" t="s">
        <v>1460</v>
      </c>
      <c r="G166" s="2" t="s">
        <v>836</v>
      </c>
      <c r="H166" s="2" t="s">
        <v>1578</v>
      </c>
      <c r="I166" s="2" t="s">
        <v>1579</v>
      </c>
      <c r="J166" s="2" t="s">
        <v>1580</v>
      </c>
      <c r="K166" s="2" t="s">
        <v>1581</v>
      </c>
      <c r="L166" s="2" t="s">
        <v>1582</v>
      </c>
      <c r="M166" s="2"/>
      <c r="N166" s="2"/>
      <c r="O166" s="2" t="s">
        <v>1466</v>
      </c>
      <c r="P166" s="2" t="s">
        <v>1467</v>
      </c>
      <c r="Q166" s="2"/>
      <c r="R166" s="3" t="n">
        <v>0.91</v>
      </c>
      <c r="S166" s="3" t="n">
        <v>1</v>
      </c>
      <c r="T166" s="3" t="n">
        <v>1.9</v>
      </c>
      <c r="U166" s="2"/>
      <c r="V166" s="2" t="s">
        <v>40</v>
      </c>
      <c r="W166" s="2" t="s">
        <v>1525</v>
      </c>
      <c r="X166" s="4" t="s">
        <v>42</v>
      </c>
      <c r="Y166" s="2" t="n">
        <v>16823515</v>
      </c>
    </row>
    <row r="167" customFormat="false" ht="15" hidden="false" customHeight="false" outlineLevel="0" collapsed="false">
      <c r="A167" s="2" t="s">
        <v>142</v>
      </c>
      <c r="B167" s="2" t="s">
        <v>1583</v>
      </c>
      <c r="C167" s="2" t="s">
        <v>1212</v>
      </c>
      <c r="D167" s="2" t="s">
        <v>1584</v>
      </c>
      <c r="E167" s="2" t="s">
        <v>90</v>
      </c>
      <c r="F167" s="2" t="s">
        <v>165</v>
      </c>
      <c r="G167" s="2" t="s">
        <v>1585</v>
      </c>
      <c r="H167" s="2"/>
      <c r="I167" s="2" t="s">
        <v>1586</v>
      </c>
      <c r="J167" s="2" t="s">
        <v>1587</v>
      </c>
      <c r="K167" s="2" t="s">
        <v>1588</v>
      </c>
      <c r="L167" s="2" t="s">
        <v>1589</v>
      </c>
      <c r="M167" s="2"/>
      <c r="N167" s="2"/>
      <c r="O167" s="2" t="s">
        <v>1466</v>
      </c>
      <c r="P167" s="2" t="s">
        <v>1467</v>
      </c>
      <c r="Q167" s="2"/>
      <c r="R167" s="3" t="n">
        <v>0.95</v>
      </c>
      <c r="S167" s="3" t="n">
        <v>1</v>
      </c>
      <c r="T167" s="3" t="n">
        <v>1.9</v>
      </c>
      <c r="U167" s="2"/>
      <c r="V167" s="2" t="s">
        <v>40</v>
      </c>
      <c r="W167" s="2" t="s">
        <v>1525</v>
      </c>
      <c r="X167" s="4" t="s">
        <v>42</v>
      </c>
      <c r="Y167" s="2" t="n">
        <v>16823514</v>
      </c>
    </row>
    <row r="168" customFormat="false" ht="15" hidden="false" customHeight="false" outlineLevel="0" collapsed="false">
      <c r="A168" s="2" t="s">
        <v>1590</v>
      </c>
      <c r="B168" s="2" t="s">
        <v>1591</v>
      </c>
      <c r="C168" s="2" t="s">
        <v>175</v>
      </c>
      <c r="D168" s="2" t="s">
        <v>1592</v>
      </c>
      <c r="E168" s="2" t="s">
        <v>244</v>
      </c>
      <c r="F168" s="2" t="s">
        <v>48</v>
      </c>
      <c r="G168" s="2" t="s">
        <v>1593</v>
      </c>
      <c r="H168" s="2"/>
      <c r="I168" s="2" t="s">
        <v>1594</v>
      </c>
      <c r="J168" s="2" t="s">
        <v>1595</v>
      </c>
      <c r="K168" s="2" t="s">
        <v>1596</v>
      </c>
      <c r="L168" s="2" t="s">
        <v>1510</v>
      </c>
      <c r="M168" s="2"/>
      <c r="N168" s="2"/>
      <c r="O168" s="2" t="s">
        <v>1466</v>
      </c>
      <c r="P168" s="2" t="s">
        <v>1467</v>
      </c>
      <c r="Q168" s="2"/>
      <c r="R168" s="3" t="n">
        <v>0.95</v>
      </c>
      <c r="S168" s="3" t="n">
        <v>1</v>
      </c>
      <c r="T168" s="3" t="n">
        <v>1.9</v>
      </c>
      <c r="U168" s="2"/>
      <c r="V168" s="2" t="s">
        <v>40</v>
      </c>
      <c r="W168" s="2" t="s">
        <v>1525</v>
      </c>
      <c r="X168" s="4" t="s">
        <v>42</v>
      </c>
      <c r="Y168" s="2" t="n">
        <v>16823513</v>
      </c>
    </row>
    <row r="169" customFormat="false" ht="15" hidden="false" customHeight="false" outlineLevel="0" collapsed="false">
      <c r="A169" s="2" t="s">
        <v>1597</v>
      </c>
      <c r="B169" s="2" t="s">
        <v>1598</v>
      </c>
      <c r="C169" s="2" t="s">
        <v>1599</v>
      </c>
      <c r="D169" s="2" t="s">
        <v>1600</v>
      </c>
      <c r="E169" s="2" t="s">
        <v>103</v>
      </c>
      <c r="F169" s="2" t="s">
        <v>1487</v>
      </c>
      <c r="G169" s="2" t="s">
        <v>1601</v>
      </c>
      <c r="H169" s="2" t="s">
        <v>1602</v>
      </c>
      <c r="I169" s="2" t="s">
        <v>1603</v>
      </c>
      <c r="J169" s="2" t="s">
        <v>1604</v>
      </c>
      <c r="K169" s="2" t="s">
        <v>1599</v>
      </c>
      <c r="L169" s="2" t="s">
        <v>1605</v>
      </c>
      <c r="M169" s="2"/>
      <c r="N169" s="2"/>
      <c r="O169" s="2" t="s">
        <v>1466</v>
      </c>
      <c r="P169" s="2" t="s">
        <v>1467</v>
      </c>
      <c r="Q169" s="2"/>
      <c r="R169" s="3" t="n">
        <v>0.95</v>
      </c>
      <c r="S169" s="3" t="n">
        <v>1</v>
      </c>
      <c r="T169" s="3" t="n">
        <v>1.9</v>
      </c>
      <c r="U169" s="2"/>
      <c r="V169" s="2" t="s">
        <v>40</v>
      </c>
      <c r="W169" s="2" t="s">
        <v>1525</v>
      </c>
      <c r="X169" s="4" t="s">
        <v>42</v>
      </c>
      <c r="Y169" s="2" t="n">
        <v>16823512</v>
      </c>
    </row>
    <row r="170" customFormat="false" ht="15" hidden="false" customHeight="false" outlineLevel="0" collapsed="false">
      <c r="A170" s="2" t="s">
        <v>1606</v>
      </c>
      <c r="B170" s="2" t="s">
        <v>1607</v>
      </c>
      <c r="C170" s="2" t="s">
        <v>1608</v>
      </c>
      <c r="D170" s="2" t="s">
        <v>1609</v>
      </c>
      <c r="E170" s="2" t="s">
        <v>255</v>
      </c>
      <c r="F170" s="2" t="s">
        <v>165</v>
      </c>
      <c r="G170" s="2" t="s">
        <v>79</v>
      </c>
      <c r="H170" s="2"/>
      <c r="I170" s="2" t="s">
        <v>1610</v>
      </c>
      <c r="J170" s="2" t="s">
        <v>1611</v>
      </c>
      <c r="K170" s="2" t="s">
        <v>1612</v>
      </c>
      <c r="L170" s="2" t="s">
        <v>1613</v>
      </c>
      <c r="M170" s="2"/>
      <c r="N170" s="2"/>
      <c r="O170" s="2" t="s">
        <v>1466</v>
      </c>
      <c r="P170" s="2" t="s">
        <v>1467</v>
      </c>
      <c r="Q170" s="2"/>
      <c r="R170" s="3" t="n">
        <v>0.95</v>
      </c>
      <c r="S170" s="3" t="n">
        <v>1</v>
      </c>
      <c r="T170" s="3" t="n">
        <v>1.9</v>
      </c>
      <c r="U170" s="2"/>
      <c r="V170" s="2" t="s">
        <v>40</v>
      </c>
      <c r="W170" s="2" t="s">
        <v>1525</v>
      </c>
      <c r="X170" s="4" t="s">
        <v>42</v>
      </c>
      <c r="Y170" s="2" t="n">
        <v>16823511</v>
      </c>
    </row>
    <row r="171" customFormat="false" ht="15" hidden="false" customHeight="false" outlineLevel="0" collapsed="false">
      <c r="A171" s="2" t="s">
        <v>1614</v>
      </c>
      <c r="B171" s="2" t="s">
        <v>1615</v>
      </c>
      <c r="C171" s="2" t="s">
        <v>1616</v>
      </c>
      <c r="D171" s="2" t="s">
        <v>1617</v>
      </c>
      <c r="E171" s="2" t="s">
        <v>103</v>
      </c>
      <c r="F171" s="2" t="s">
        <v>165</v>
      </c>
      <c r="G171" s="2" t="s">
        <v>836</v>
      </c>
      <c r="H171" s="2" t="s">
        <v>1618</v>
      </c>
      <c r="I171" s="2" t="s">
        <v>1619</v>
      </c>
      <c r="J171" s="2" t="s">
        <v>1620</v>
      </c>
      <c r="K171" s="2" t="s">
        <v>1621</v>
      </c>
      <c r="L171" s="2" t="s">
        <v>238</v>
      </c>
      <c r="M171" s="2"/>
      <c r="N171" s="2"/>
      <c r="O171" s="2" t="s">
        <v>1466</v>
      </c>
      <c r="P171" s="2" t="s">
        <v>1467</v>
      </c>
      <c r="Q171" s="2"/>
      <c r="R171" s="3" t="n">
        <v>0.95</v>
      </c>
      <c r="S171" s="3" t="n">
        <v>1</v>
      </c>
      <c r="T171" s="3" t="n">
        <v>1.9</v>
      </c>
      <c r="U171" s="2"/>
      <c r="V171" s="2" t="s">
        <v>40</v>
      </c>
      <c r="W171" s="2" t="s">
        <v>1525</v>
      </c>
      <c r="X171" s="4" t="s">
        <v>42</v>
      </c>
      <c r="Y171" s="2" t="n">
        <v>16823510</v>
      </c>
    </row>
    <row r="172" customFormat="false" ht="15" hidden="false" customHeight="false" outlineLevel="0" collapsed="false">
      <c r="A172" s="2" t="s">
        <v>1622</v>
      </c>
      <c r="B172" s="2" t="s">
        <v>1623</v>
      </c>
      <c r="C172" s="2" t="s">
        <v>772</v>
      </c>
      <c r="D172" s="2" t="s">
        <v>1624</v>
      </c>
      <c r="E172" s="2" t="s">
        <v>255</v>
      </c>
      <c r="F172" s="2" t="s">
        <v>30</v>
      </c>
      <c r="G172" s="2" t="s">
        <v>104</v>
      </c>
      <c r="H172" s="2"/>
      <c r="I172" s="2" t="s">
        <v>1625</v>
      </c>
      <c r="J172" s="2" t="s">
        <v>1626</v>
      </c>
      <c r="K172" s="2" t="s">
        <v>1627</v>
      </c>
      <c r="L172" s="2" t="s">
        <v>1628</v>
      </c>
      <c r="M172" s="2"/>
      <c r="N172" s="2"/>
      <c r="O172" s="2" t="s">
        <v>1466</v>
      </c>
      <c r="P172" s="2" t="s">
        <v>1467</v>
      </c>
      <c r="Q172" s="2"/>
      <c r="R172" s="3" t="n">
        <v>0.95</v>
      </c>
      <c r="S172" s="3" t="n">
        <v>1</v>
      </c>
      <c r="T172" s="3" t="n">
        <v>1.9</v>
      </c>
      <c r="U172" s="2"/>
      <c r="V172" s="2" t="s">
        <v>40</v>
      </c>
      <c r="W172" s="2" t="s">
        <v>1525</v>
      </c>
      <c r="X172" s="4" t="s">
        <v>42</v>
      </c>
      <c r="Y172" s="2" t="n">
        <v>16823508</v>
      </c>
    </row>
    <row r="173" customFormat="false" ht="15" hidden="false" customHeight="false" outlineLevel="0" collapsed="false">
      <c r="A173" s="2" t="s">
        <v>1629</v>
      </c>
      <c r="B173" s="2" t="s">
        <v>1630</v>
      </c>
      <c r="C173" s="2" t="s">
        <v>1631</v>
      </c>
      <c r="D173" s="2" t="s">
        <v>1632</v>
      </c>
      <c r="E173" s="2" t="s">
        <v>255</v>
      </c>
      <c r="F173" s="2" t="s">
        <v>30</v>
      </c>
      <c r="G173" s="2" t="s">
        <v>1201</v>
      </c>
      <c r="H173" s="2" t="s">
        <v>1633</v>
      </c>
      <c r="I173" s="2" t="s">
        <v>1634</v>
      </c>
      <c r="J173" s="2" t="s">
        <v>1635</v>
      </c>
      <c r="K173" s="2" t="s">
        <v>1636</v>
      </c>
      <c r="L173" s="2" t="s">
        <v>1637</v>
      </c>
      <c r="M173" s="2"/>
      <c r="N173" s="2"/>
      <c r="O173" s="2" t="s">
        <v>1466</v>
      </c>
      <c r="P173" s="2" t="s">
        <v>1467</v>
      </c>
      <c r="Q173" s="2"/>
      <c r="R173" s="3" t="n">
        <v>0.95</v>
      </c>
      <c r="S173" s="3" t="n">
        <v>1</v>
      </c>
      <c r="T173" s="3" t="n">
        <v>1.9</v>
      </c>
      <c r="U173" s="2"/>
      <c r="V173" s="2" t="s">
        <v>40</v>
      </c>
      <c r="W173" s="2" t="s">
        <v>1525</v>
      </c>
      <c r="X173" s="4" t="s">
        <v>42</v>
      </c>
      <c r="Y173" s="2" t="n">
        <v>16823505</v>
      </c>
    </row>
    <row r="174" customFormat="false" ht="15" hidden="false" customHeight="false" outlineLevel="0" collapsed="false">
      <c r="A174" s="2" t="s">
        <v>1638</v>
      </c>
      <c r="B174" s="2" t="s">
        <v>1639</v>
      </c>
      <c r="C174" s="2" t="s">
        <v>1368</v>
      </c>
      <c r="D174" s="2" t="s">
        <v>1640</v>
      </c>
      <c r="E174" s="2" t="s">
        <v>90</v>
      </c>
      <c r="F174" s="2" t="s">
        <v>30</v>
      </c>
      <c r="G174" s="2" t="s">
        <v>59</v>
      </c>
      <c r="H174" s="2" t="s">
        <v>1641</v>
      </c>
      <c r="I174" s="2" t="s">
        <v>1642</v>
      </c>
      <c r="J174" s="2" t="s">
        <v>1643</v>
      </c>
      <c r="K174" s="2" t="s">
        <v>1368</v>
      </c>
      <c r="L174" s="2" t="s">
        <v>1260</v>
      </c>
      <c r="M174" s="2"/>
      <c r="N174" s="2"/>
      <c r="O174" s="2" t="s">
        <v>1466</v>
      </c>
      <c r="P174" s="2" t="s">
        <v>1467</v>
      </c>
      <c r="Q174" s="2"/>
      <c r="R174" s="3" t="n">
        <v>0.95</v>
      </c>
      <c r="S174" s="3" t="n">
        <v>1</v>
      </c>
      <c r="T174" s="3" t="n">
        <v>1.9</v>
      </c>
      <c r="U174" s="2"/>
      <c r="V174" s="2" t="s">
        <v>40</v>
      </c>
      <c r="W174" s="2" t="s">
        <v>1525</v>
      </c>
      <c r="X174" s="4" t="s">
        <v>42</v>
      </c>
      <c r="Y174" s="2" t="n">
        <v>16823504</v>
      </c>
    </row>
    <row r="175" customFormat="false" ht="15" hidden="false" customHeight="false" outlineLevel="0" collapsed="false">
      <c r="A175" s="2" t="s">
        <v>1644</v>
      </c>
      <c r="B175" s="2" t="s">
        <v>1645</v>
      </c>
      <c r="C175" s="2" t="s">
        <v>1646</v>
      </c>
      <c r="D175" s="2" t="s">
        <v>1647</v>
      </c>
      <c r="E175" s="2"/>
      <c r="F175" s="2" t="s">
        <v>30</v>
      </c>
      <c r="G175" s="2" t="s">
        <v>59</v>
      </c>
      <c r="H175" s="2" t="s">
        <v>1648</v>
      </c>
      <c r="I175" s="2" t="s">
        <v>1649</v>
      </c>
      <c r="J175" s="2" t="s">
        <v>1650</v>
      </c>
      <c r="K175" s="2" t="s">
        <v>1646</v>
      </c>
      <c r="L175" s="2" t="s">
        <v>1651</v>
      </c>
      <c r="M175" s="2"/>
      <c r="N175" s="2"/>
      <c r="O175" s="2" t="s">
        <v>1466</v>
      </c>
      <c r="P175" s="2" t="s">
        <v>1467</v>
      </c>
      <c r="Q175" s="2"/>
      <c r="R175" s="3" t="n">
        <v>0.95</v>
      </c>
      <c r="S175" s="3" t="n">
        <v>1</v>
      </c>
      <c r="T175" s="3" t="n">
        <v>1.9</v>
      </c>
      <c r="U175" s="2"/>
      <c r="V175" s="2" t="s">
        <v>40</v>
      </c>
      <c r="W175" s="2" t="s">
        <v>1525</v>
      </c>
      <c r="X175" s="4" t="s">
        <v>42</v>
      </c>
      <c r="Y175" s="2" t="n">
        <v>16823503</v>
      </c>
    </row>
    <row r="176" customFormat="false" ht="15" hidden="false" customHeight="false" outlineLevel="0" collapsed="false">
      <c r="A176" s="2" t="s">
        <v>1652</v>
      </c>
      <c r="B176" s="2" t="s">
        <v>957</v>
      </c>
      <c r="C176" s="2" t="s">
        <v>307</v>
      </c>
      <c r="D176" s="2" t="s">
        <v>1653</v>
      </c>
      <c r="E176" s="2" t="s">
        <v>90</v>
      </c>
      <c r="F176" s="2" t="s">
        <v>30</v>
      </c>
      <c r="G176" s="2" t="s">
        <v>59</v>
      </c>
      <c r="H176" s="2"/>
      <c r="I176" s="2" t="s">
        <v>1654</v>
      </c>
      <c r="J176" s="2" t="s">
        <v>1655</v>
      </c>
      <c r="K176" s="2" t="s">
        <v>1656</v>
      </c>
      <c r="L176" s="2" t="s">
        <v>1657</v>
      </c>
      <c r="M176" s="2"/>
      <c r="N176" s="2"/>
      <c r="O176" s="2" t="s">
        <v>1466</v>
      </c>
      <c r="P176" s="2" t="s">
        <v>1467</v>
      </c>
      <c r="Q176" s="2"/>
      <c r="R176" s="3" t="n">
        <v>0.98</v>
      </c>
      <c r="S176" s="3" t="n">
        <v>1</v>
      </c>
      <c r="T176" s="3" t="n">
        <v>2</v>
      </c>
      <c r="U176" s="2"/>
      <c r="V176" s="2" t="s">
        <v>40</v>
      </c>
      <c r="W176" s="2" t="s">
        <v>1525</v>
      </c>
      <c r="X176" s="4" t="s">
        <v>42</v>
      </c>
      <c r="Y176" s="2" t="n">
        <v>16823502</v>
      </c>
    </row>
    <row r="177" customFormat="false" ht="15" hidden="false" customHeight="false" outlineLevel="0" collapsed="false">
      <c r="A177" s="2" t="s">
        <v>1658</v>
      </c>
      <c r="B177" s="2" t="s">
        <v>1659</v>
      </c>
      <c r="C177" s="2" t="s">
        <v>1660</v>
      </c>
      <c r="D177" s="2" t="s">
        <v>1661</v>
      </c>
      <c r="E177" s="2" t="s">
        <v>103</v>
      </c>
      <c r="F177" s="2" t="s">
        <v>1662</v>
      </c>
      <c r="G177" s="2" t="s">
        <v>1663</v>
      </c>
      <c r="H177" s="2" t="s">
        <v>1664</v>
      </c>
      <c r="I177" s="2" t="s">
        <v>1665</v>
      </c>
      <c r="J177" s="2" t="s">
        <v>1666</v>
      </c>
      <c r="K177" s="2" t="s">
        <v>1667</v>
      </c>
      <c r="L177" s="2" t="s">
        <v>1668</v>
      </c>
      <c r="M177" s="2"/>
      <c r="N177" s="2"/>
      <c r="O177" s="2" t="s">
        <v>1669</v>
      </c>
      <c r="P177" s="2" t="s">
        <v>1670</v>
      </c>
      <c r="Q177" s="2" t="s">
        <v>1671</v>
      </c>
      <c r="R177" s="3" t="n">
        <v>0.83</v>
      </c>
      <c r="S177" s="3" t="n">
        <v>1.1</v>
      </c>
      <c r="T177" s="3" t="n">
        <v>1.8</v>
      </c>
      <c r="U177" s="2" t="s">
        <v>1672</v>
      </c>
      <c r="V177" s="2" t="s">
        <v>40</v>
      </c>
      <c r="W177" s="2" t="s">
        <v>1673</v>
      </c>
      <c r="X177" s="4" t="s">
        <v>42</v>
      </c>
      <c r="Y177" s="2" t="n">
        <v>16782686</v>
      </c>
    </row>
    <row r="178" customFormat="false" ht="15" hidden="false" customHeight="false" outlineLevel="0" collapsed="false">
      <c r="A178" s="2" t="s">
        <v>1674</v>
      </c>
      <c r="B178" s="2" t="s">
        <v>1675</v>
      </c>
      <c r="C178" s="2" t="s">
        <v>1676</v>
      </c>
      <c r="D178" s="2" t="s">
        <v>1677</v>
      </c>
      <c r="E178" s="2" t="s">
        <v>47</v>
      </c>
      <c r="F178" s="2" t="s">
        <v>48</v>
      </c>
      <c r="G178" s="2" t="s">
        <v>1678</v>
      </c>
      <c r="H178" s="2" t="s">
        <v>1679</v>
      </c>
      <c r="I178" s="2" t="s">
        <v>1680</v>
      </c>
      <c r="J178" s="2" t="s">
        <v>1681</v>
      </c>
      <c r="K178" s="2" t="s">
        <v>1682</v>
      </c>
      <c r="L178" s="2" t="s">
        <v>129</v>
      </c>
      <c r="M178" s="2"/>
      <c r="N178" s="2"/>
      <c r="O178" s="2" t="s">
        <v>1683</v>
      </c>
      <c r="P178" s="2" t="s">
        <v>1684</v>
      </c>
      <c r="Q178" s="2" t="s">
        <v>1685</v>
      </c>
      <c r="R178" s="3" t="n">
        <v>0.81</v>
      </c>
      <c r="S178" s="3" t="n">
        <v>1.1</v>
      </c>
      <c r="T178" s="3" t="n">
        <v>1.8</v>
      </c>
      <c r="U178" s="2" t="s">
        <v>1686</v>
      </c>
      <c r="V178" s="2" t="s">
        <v>40</v>
      </c>
      <c r="W178" s="2" t="s">
        <v>1687</v>
      </c>
      <c r="X178" s="4" t="s">
        <v>42</v>
      </c>
      <c r="Y178" s="2" t="n">
        <v>16664562</v>
      </c>
    </row>
    <row r="179" customFormat="false" ht="15" hidden="false" customHeight="false" outlineLevel="0" collapsed="false">
      <c r="A179" s="2" t="s">
        <v>1688</v>
      </c>
      <c r="B179" s="2" t="s">
        <v>1689</v>
      </c>
      <c r="C179" s="2" t="s">
        <v>1690</v>
      </c>
      <c r="D179" s="2" t="s">
        <v>1691</v>
      </c>
      <c r="E179" s="2" t="s">
        <v>1692</v>
      </c>
      <c r="F179" s="2" t="s">
        <v>165</v>
      </c>
      <c r="G179" s="2" t="s">
        <v>1693</v>
      </c>
      <c r="H179" s="2" t="s">
        <v>1694</v>
      </c>
      <c r="I179" s="2" t="s">
        <v>1695</v>
      </c>
      <c r="J179" s="2" t="s">
        <v>1696</v>
      </c>
      <c r="K179" s="2" t="s">
        <v>1697</v>
      </c>
      <c r="L179" s="2" t="s">
        <v>1698</v>
      </c>
      <c r="M179" s="2"/>
      <c r="N179" s="2"/>
      <c r="O179" s="2" t="s">
        <v>1683</v>
      </c>
      <c r="P179" s="2" t="s">
        <v>1684</v>
      </c>
      <c r="Q179" s="2" t="s">
        <v>1685</v>
      </c>
      <c r="R179" s="3" t="n">
        <v>0.83</v>
      </c>
      <c r="S179" s="3" t="n">
        <v>1.1</v>
      </c>
      <c r="T179" s="3" t="n">
        <v>1.8</v>
      </c>
      <c r="U179" s="2" t="s">
        <v>1699</v>
      </c>
      <c r="V179" s="2" t="s">
        <v>40</v>
      </c>
      <c r="W179" s="2" t="s">
        <v>1687</v>
      </c>
      <c r="X179" s="4" t="s">
        <v>42</v>
      </c>
      <c r="Y179" s="2" t="n">
        <v>16664523</v>
      </c>
    </row>
    <row r="180" customFormat="false" ht="15" hidden="false" customHeight="false" outlineLevel="0" collapsed="false">
      <c r="A180" s="2" t="s">
        <v>1638</v>
      </c>
      <c r="B180" s="2" t="s">
        <v>1700</v>
      </c>
      <c r="C180" s="2" t="s">
        <v>1701</v>
      </c>
      <c r="D180" s="2" t="s">
        <v>1702</v>
      </c>
      <c r="E180" s="2" t="s">
        <v>103</v>
      </c>
      <c r="F180" s="2" t="s">
        <v>30</v>
      </c>
      <c r="G180" s="2" t="s">
        <v>1703</v>
      </c>
      <c r="H180" s="2" t="s">
        <v>1704</v>
      </c>
      <c r="I180" s="2" t="s">
        <v>1705</v>
      </c>
      <c r="J180" s="2" t="s">
        <v>1706</v>
      </c>
      <c r="K180" s="2" t="s">
        <v>1707</v>
      </c>
      <c r="L180" s="2" t="s">
        <v>1708</v>
      </c>
      <c r="M180" s="2"/>
      <c r="N180" s="2"/>
      <c r="O180" s="2" t="s">
        <v>1683</v>
      </c>
      <c r="P180" s="2" t="s">
        <v>1709</v>
      </c>
      <c r="Q180" s="2" t="s">
        <v>1685</v>
      </c>
      <c r="R180" s="3" t="n">
        <v>0.93</v>
      </c>
      <c r="S180" s="3" t="n">
        <v>1.5</v>
      </c>
      <c r="T180" s="3" t="n">
        <v>2.1</v>
      </c>
      <c r="U180" s="2" t="s">
        <v>1710</v>
      </c>
      <c r="V180" s="2" t="s">
        <v>40</v>
      </c>
      <c r="W180" s="2" t="s">
        <v>1687</v>
      </c>
      <c r="X180" s="4" t="s">
        <v>42</v>
      </c>
      <c r="Y180" s="2" t="n">
        <v>16664516</v>
      </c>
    </row>
    <row r="181" customFormat="false" ht="15" hidden="false" customHeight="false" outlineLevel="0" collapsed="false">
      <c r="A181" s="2" t="s">
        <v>1711</v>
      </c>
      <c r="B181" s="2" t="s">
        <v>1712</v>
      </c>
      <c r="C181" s="2" t="s">
        <v>1713</v>
      </c>
      <c r="D181" s="2" t="s">
        <v>1714</v>
      </c>
      <c r="E181" s="2" t="s">
        <v>103</v>
      </c>
      <c r="F181" s="2" t="s">
        <v>165</v>
      </c>
      <c r="G181" s="2" t="s">
        <v>59</v>
      </c>
      <c r="H181" s="2" t="s">
        <v>1715</v>
      </c>
      <c r="I181" s="2" t="s">
        <v>1716</v>
      </c>
      <c r="J181" s="2" t="s">
        <v>1717</v>
      </c>
      <c r="K181" s="2" t="s">
        <v>1718</v>
      </c>
      <c r="L181" s="2" t="s">
        <v>1582</v>
      </c>
      <c r="M181" s="2"/>
      <c r="N181" s="2"/>
      <c r="O181" s="2" t="s">
        <v>1440</v>
      </c>
      <c r="P181" s="2" t="s">
        <v>1719</v>
      </c>
      <c r="Q181" s="2" t="s">
        <v>1720</v>
      </c>
      <c r="R181" s="3" t="n">
        <v>0.87</v>
      </c>
      <c r="S181" s="3" t="n">
        <v>1.5</v>
      </c>
      <c r="T181" s="3" t="n">
        <v>2.1</v>
      </c>
      <c r="U181" s="2" t="s">
        <v>1721</v>
      </c>
      <c r="V181" s="2" t="s">
        <v>40</v>
      </c>
      <c r="W181" s="2" t="s">
        <v>1722</v>
      </c>
      <c r="X181" s="4" t="s">
        <v>42</v>
      </c>
      <c r="Y181" s="2" t="n">
        <v>16553108</v>
      </c>
    </row>
    <row r="182" customFormat="false" ht="15" hidden="false" customHeight="false" outlineLevel="0" collapsed="false">
      <c r="A182" s="2" t="s">
        <v>316</v>
      </c>
      <c r="B182" s="2" t="s">
        <v>1723</v>
      </c>
      <c r="C182" s="2" t="s">
        <v>1724</v>
      </c>
      <c r="D182" s="2" t="s">
        <v>1725</v>
      </c>
      <c r="E182" s="2" t="s">
        <v>103</v>
      </c>
      <c r="F182" s="2" t="s">
        <v>165</v>
      </c>
      <c r="G182" s="2" t="s">
        <v>1726</v>
      </c>
      <c r="H182" s="2" t="s">
        <v>1727</v>
      </c>
      <c r="I182" s="2" t="s">
        <v>1728</v>
      </c>
      <c r="J182" s="2" t="s">
        <v>1729</v>
      </c>
      <c r="K182" s="2" t="s">
        <v>1730</v>
      </c>
      <c r="L182" s="2" t="s">
        <v>1731</v>
      </c>
      <c r="M182" s="2"/>
      <c r="N182" s="2"/>
      <c r="O182" s="2" t="s">
        <v>1683</v>
      </c>
      <c r="P182" s="2" t="s">
        <v>1732</v>
      </c>
      <c r="Q182" s="2" t="s">
        <v>1733</v>
      </c>
      <c r="R182" s="3" t="n">
        <v>1</v>
      </c>
      <c r="S182" s="3" t="n">
        <v>1.1</v>
      </c>
      <c r="T182" s="3" t="n">
        <v>2.1</v>
      </c>
      <c r="U182" s="2" t="s">
        <v>1734</v>
      </c>
      <c r="V182" s="2" t="s">
        <v>40</v>
      </c>
      <c r="W182" s="2" t="s">
        <v>1735</v>
      </c>
      <c r="X182" s="4" t="s">
        <v>42</v>
      </c>
      <c r="Y182" s="2" t="n">
        <v>16504377</v>
      </c>
    </row>
    <row r="183" customFormat="false" ht="15" hidden="false" customHeight="false" outlineLevel="0" collapsed="false">
      <c r="A183" s="2" t="s">
        <v>947</v>
      </c>
      <c r="B183" s="2" t="s">
        <v>1736</v>
      </c>
      <c r="C183" s="2" t="s">
        <v>1737</v>
      </c>
      <c r="D183" s="2" t="s">
        <v>1738</v>
      </c>
      <c r="E183" s="2" t="s">
        <v>58</v>
      </c>
      <c r="F183" s="2" t="s">
        <v>1739</v>
      </c>
      <c r="G183" s="2" t="s">
        <v>298</v>
      </c>
      <c r="H183" s="2" t="s">
        <v>1740</v>
      </c>
      <c r="I183" s="2" t="s">
        <v>1733</v>
      </c>
      <c r="J183" s="2" t="s">
        <v>1741</v>
      </c>
      <c r="K183" s="2" t="s">
        <v>1742</v>
      </c>
      <c r="L183" s="2" t="s">
        <v>1743</v>
      </c>
      <c r="M183" s="2"/>
      <c r="N183" s="2"/>
      <c r="O183" s="2" t="s">
        <v>1683</v>
      </c>
      <c r="P183" s="2" t="s">
        <v>1744</v>
      </c>
      <c r="Q183" s="2" t="s">
        <v>1733</v>
      </c>
      <c r="R183" s="3" t="n">
        <v>0.85</v>
      </c>
      <c r="S183" s="3" t="n">
        <v>1.5</v>
      </c>
      <c r="T183" s="3" t="n">
        <v>2</v>
      </c>
      <c r="U183" s="2" t="s">
        <v>1745</v>
      </c>
      <c r="V183" s="2" t="s">
        <v>40</v>
      </c>
      <c r="W183" s="2" t="s">
        <v>1746</v>
      </c>
      <c r="X183" s="4" t="s">
        <v>42</v>
      </c>
      <c r="Y183" s="2" t="n">
        <v>16504371</v>
      </c>
    </row>
    <row r="184" customFormat="false" ht="15" hidden="false" customHeight="false" outlineLevel="0" collapsed="false">
      <c r="A184" s="2" t="s">
        <v>1747</v>
      </c>
      <c r="B184" s="2" t="s">
        <v>1748</v>
      </c>
      <c r="C184" s="2" t="s">
        <v>1660</v>
      </c>
      <c r="D184" s="2" t="s">
        <v>1749</v>
      </c>
      <c r="E184" s="2" t="s">
        <v>103</v>
      </c>
      <c r="F184" s="2" t="s">
        <v>165</v>
      </c>
      <c r="G184" s="2" t="s">
        <v>1750</v>
      </c>
      <c r="H184" s="2"/>
      <c r="I184" s="2" t="s">
        <v>1751</v>
      </c>
      <c r="J184" s="2" t="s">
        <v>1752</v>
      </c>
      <c r="K184" s="2" t="s">
        <v>1753</v>
      </c>
      <c r="L184" s="2" t="s">
        <v>1754</v>
      </c>
      <c r="M184" s="2"/>
      <c r="N184" s="2"/>
      <c r="O184" s="2" t="s">
        <v>1683</v>
      </c>
      <c r="P184" s="2" t="s">
        <v>1744</v>
      </c>
      <c r="Q184" s="2" t="s">
        <v>1733</v>
      </c>
      <c r="R184" s="3" t="n">
        <v>0.89</v>
      </c>
      <c r="S184" s="3" t="n">
        <v>1.5</v>
      </c>
      <c r="T184" s="3" t="n">
        <v>2.1</v>
      </c>
      <c r="U184" s="2" t="s">
        <v>1755</v>
      </c>
      <c r="V184" s="2" t="s">
        <v>40</v>
      </c>
      <c r="W184" s="2" t="s">
        <v>1746</v>
      </c>
      <c r="X184" s="4" t="s">
        <v>42</v>
      </c>
      <c r="Y184" s="2" t="n">
        <v>16504369</v>
      </c>
    </row>
    <row r="185" customFormat="false" ht="15" hidden="false" customHeight="false" outlineLevel="0" collapsed="false">
      <c r="A185" s="2" t="s">
        <v>1756</v>
      </c>
      <c r="B185" s="2" t="s">
        <v>1757</v>
      </c>
      <c r="C185" s="2" t="s">
        <v>1758</v>
      </c>
      <c r="D185" s="2" t="s">
        <v>1759</v>
      </c>
      <c r="E185" s="2" t="s">
        <v>255</v>
      </c>
      <c r="F185" s="2" t="s">
        <v>165</v>
      </c>
      <c r="G185" s="2" t="s">
        <v>211</v>
      </c>
      <c r="H185" s="2" t="s">
        <v>1760</v>
      </c>
      <c r="I185" s="2" t="s">
        <v>1761</v>
      </c>
      <c r="J185" s="2" t="s">
        <v>1762</v>
      </c>
      <c r="K185" s="2" t="s">
        <v>1763</v>
      </c>
      <c r="L185" s="2" t="s">
        <v>1452</v>
      </c>
      <c r="M185" s="2"/>
      <c r="N185" s="2"/>
      <c r="O185" s="2" t="s">
        <v>1764</v>
      </c>
      <c r="P185" s="2" t="s">
        <v>1765</v>
      </c>
      <c r="Q185" s="2"/>
      <c r="R185" s="3" t="n">
        <v>0.93</v>
      </c>
      <c r="S185" s="3" t="n">
        <v>1.6</v>
      </c>
      <c r="T185" s="3" t="n">
        <v>2.2</v>
      </c>
      <c r="U185" s="2" t="s">
        <v>1766</v>
      </c>
      <c r="V185" s="2" t="s">
        <v>40</v>
      </c>
      <c r="W185" s="2" t="s">
        <v>1767</v>
      </c>
      <c r="X185" s="4" t="s">
        <v>42</v>
      </c>
      <c r="Y185" s="2" t="n">
        <v>16473166</v>
      </c>
    </row>
    <row r="186" customFormat="false" ht="15" hidden="false" customHeight="false" outlineLevel="0" collapsed="false">
      <c r="A186" s="2" t="s">
        <v>1768</v>
      </c>
      <c r="B186" s="2" t="s">
        <v>1769</v>
      </c>
      <c r="C186" s="2" t="s">
        <v>1770</v>
      </c>
      <c r="D186" s="2" t="s">
        <v>1771</v>
      </c>
      <c r="E186" s="2" t="s">
        <v>103</v>
      </c>
      <c r="F186" s="2" t="s">
        <v>1772</v>
      </c>
      <c r="G186" s="2" t="s">
        <v>1773</v>
      </c>
      <c r="H186" s="2"/>
      <c r="I186" s="2" t="s">
        <v>1774</v>
      </c>
      <c r="J186" s="2" t="s">
        <v>1775</v>
      </c>
      <c r="K186" s="2" t="s">
        <v>1776</v>
      </c>
      <c r="L186" s="2" t="s">
        <v>1777</v>
      </c>
      <c r="M186" s="2"/>
      <c r="N186" s="2"/>
      <c r="O186" s="2" t="s">
        <v>1764</v>
      </c>
      <c r="P186" s="2" t="s">
        <v>1765</v>
      </c>
      <c r="Q186" s="2"/>
      <c r="R186" s="3" t="n">
        <v>0.91</v>
      </c>
      <c r="S186" s="3" t="n">
        <v>1.6</v>
      </c>
      <c r="T186" s="3" t="n">
        <v>2.2</v>
      </c>
      <c r="U186" s="2" t="s">
        <v>1778</v>
      </c>
      <c r="V186" s="2" t="s">
        <v>40</v>
      </c>
      <c r="W186" s="2" t="s">
        <v>1767</v>
      </c>
      <c r="X186" s="4" t="s">
        <v>42</v>
      </c>
      <c r="Y186" s="2" t="n">
        <v>16472993</v>
      </c>
    </row>
    <row r="187" customFormat="false" ht="15" hidden="false" customHeight="false" outlineLevel="0" collapsed="false">
      <c r="A187" s="2" t="s">
        <v>1779</v>
      </c>
      <c r="B187" s="2" t="s">
        <v>1780</v>
      </c>
      <c r="C187" s="2" t="s">
        <v>1660</v>
      </c>
      <c r="D187" s="2" t="s">
        <v>1781</v>
      </c>
      <c r="E187" s="2" t="s">
        <v>103</v>
      </c>
      <c r="F187" s="2" t="s">
        <v>1782</v>
      </c>
      <c r="G187" s="2" t="s">
        <v>59</v>
      </c>
      <c r="H187" s="2"/>
      <c r="I187" s="2" t="s">
        <v>1783</v>
      </c>
      <c r="J187" s="2" t="s">
        <v>1784</v>
      </c>
      <c r="K187" s="2" t="s">
        <v>1785</v>
      </c>
      <c r="L187" s="2" t="s">
        <v>1777</v>
      </c>
      <c r="M187" s="2"/>
      <c r="N187" s="2"/>
      <c r="O187" s="2" t="s">
        <v>1764</v>
      </c>
      <c r="P187" s="2" t="s">
        <v>1765</v>
      </c>
      <c r="Q187" s="2"/>
      <c r="R187" s="3" t="n">
        <v>0.81</v>
      </c>
      <c r="S187" s="3" t="n">
        <v>1.6</v>
      </c>
      <c r="T187" s="3" t="n">
        <v>2</v>
      </c>
      <c r="U187" s="2" t="s">
        <v>1786</v>
      </c>
      <c r="V187" s="2" t="s">
        <v>40</v>
      </c>
      <c r="W187" s="2" t="s">
        <v>1767</v>
      </c>
      <c r="X187" s="4" t="s">
        <v>42</v>
      </c>
      <c r="Y187" s="2" t="n">
        <v>16472983</v>
      </c>
    </row>
    <row r="188" customFormat="false" ht="15" hidden="false" customHeight="false" outlineLevel="0" collapsed="false">
      <c r="A188" s="2" t="s">
        <v>1787</v>
      </c>
      <c r="B188" s="2" t="s">
        <v>1788</v>
      </c>
      <c r="C188" s="2" t="s">
        <v>1789</v>
      </c>
      <c r="D188" s="2" t="s">
        <v>1790</v>
      </c>
      <c r="E188" s="2" t="s">
        <v>255</v>
      </c>
      <c r="F188" s="2" t="s">
        <v>48</v>
      </c>
      <c r="G188" s="2" t="s">
        <v>79</v>
      </c>
      <c r="H188" s="2" t="s">
        <v>1791</v>
      </c>
      <c r="I188" s="2" t="s">
        <v>1792</v>
      </c>
      <c r="J188" s="2" t="s">
        <v>1793</v>
      </c>
      <c r="K188" s="2" t="s">
        <v>1794</v>
      </c>
      <c r="L188" s="2" t="s">
        <v>1777</v>
      </c>
      <c r="M188" s="2"/>
      <c r="N188" s="2"/>
      <c r="O188" s="2" t="s">
        <v>1764</v>
      </c>
      <c r="P188" s="2" t="s">
        <v>1765</v>
      </c>
      <c r="Q188" s="2"/>
      <c r="R188" s="3" t="n">
        <v>0.93</v>
      </c>
      <c r="S188" s="3" t="n">
        <v>1.6</v>
      </c>
      <c r="T188" s="3" t="n">
        <v>2.2</v>
      </c>
      <c r="U188" s="2" t="s">
        <v>1795</v>
      </c>
      <c r="V188" s="2" t="s">
        <v>40</v>
      </c>
      <c r="W188" s="2" t="s">
        <v>1767</v>
      </c>
      <c r="X188" s="4" t="s">
        <v>42</v>
      </c>
      <c r="Y188" s="2" t="n">
        <v>16472940</v>
      </c>
    </row>
    <row r="189" customFormat="false" ht="15" hidden="false" customHeight="false" outlineLevel="0" collapsed="false">
      <c r="A189" s="2" t="s">
        <v>1796</v>
      </c>
      <c r="B189" s="2" t="s">
        <v>1797</v>
      </c>
      <c r="C189" s="2" t="s">
        <v>1798</v>
      </c>
      <c r="D189" s="2" t="s">
        <v>1799</v>
      </c>
      <c r="E189" s="2" t="s">
        <v>255</v>
      </c>
      <c r="F189" s="2" t="s">
        <v>165</v>
      </c>
      <c r="G189" s="2" t="s">
        <v>59</v>
      </c>
      <c r="H189" s="2"/>
      <c r="I189" s="2" t="s">
        <v>1800</v>
      </c>
      <c r="J189" s="2" t="s">
        <v>1801</v>
      </c>
      <c r="K189" s="2" t="s">
        <v>1798</v>
      </c>
      <c r="L189" s="2" t="s">
        <v>1452</v>
      </c>
      <c r="M189" s="2"/>
      <c r="N189" s="2"/>
      <c r="O189" s="2" t="s">
        <v>1764</v>
      </c>
      <c r="P189" s="2" t="s">
        <v>1765</v>
      </c>
      <c r="Q189" s="2"/>
      <c r="R189" s="3" t="n">
        <v>0.93</v>
      </c>
      <c r="S189" s="3" t="n">
        <v>1.6</v>
      </c>
      <c r="T189" s="3" t="n">
        <v>2.2</v>
      </c>
      <c r="U189" s="2" t="s">
        <v>1802</v>
      </c>
      <c r="V189" s="2" t="s">
        <v>40</v>
      </c>
      <c r="W189" s="2" t="s">
        <v>1767</v>
      </c>
      <c r="X189" s="4" t="s">
        <v>42</v>
      </c>
      <c r="Y189" s="2" t="n">
        <v>16472921</v>
      </c>
    </row>
    <row r="190" customFormat="false" ht="15" hidden="false" customHeight="false" outlineLevel="0" collapsed="false">
      <c r="A190" s="2" t="s">
        <v>1803</v>
      </c>
      <c r="B190" s="2" t="s">
        <v>1804</v>
      </c>
      <c r="C190" s="2" t="s">
        <v>1199</v>
      </c>
      <c r="D190" s="2" t="s">
        <v>1805</v>
      </c>
      <c r="E190" s="2" t="s">
        <v>244</v>
      </c>
      <c r="F190" s="2" t="s">
        <v>165</v>
      </c>
      <c r="G190" s="2" t="s">
        <v>330</v>
      </c>
      <c r="H190" s="2" t="s">
        <v>1806</v>
      </c>
      <c r="I190" s="2" t="s">
        <v>1807</v>
      </c>
      <c r="J190" s="2" t="s">
        <v>1808</v>
      </c>
      <c r="K190" s="2" t="s">
        <v>1809</v>
      </c>
      <c r="L190" s="2" t="s">
        <v>1452</v>
      </c>
      <c r="M190" s="2"/>
      <c r="N190" s="2"/>
      <c r="O190" s="2" t="s">
        <v>1764</v>
      </c>
      <c r="P190" s="2" t="s">
        <v>1765</v>
      </c>
      <c r="Q190" s="2"/>
      <c r="R190" s="3" t="n">
        <v>0.86</v>
      </c>
      <c r="S190" s="3" t="n">
        <v>1.6</v>
      </c>
      <c r="T190" s="3" t="n">
        <v>2.1</v>
      </c>
      <c r="U190" s="2" t="s">
        <v>1810</v>
      </c>
      <c r="V190" s="2" t="s">
        <v>40</v>
      </c>
      <c r="W190" s="2" t="s">
        <v>1767</v>
      </c>
      <c r="X190" s="4" t="s">
        <v>42</v>
      </c>
      <c r="Y190" s="2" t="n">
        <v>16472918</v>
      </c>
    </row>
    <row r="191" customFormat="false" ht="15" hidden="false" customHeight="false" outlineLevel="0" collapsed="false">
      <c r="A191" s="2" t="s">
        <v>1811</v>
      </c>
      <c r="B191" s="2" t="s">
        <v>1812</v>
      </c>
      <c r="C191" s="2" t="s">
        <v>1813</v>
      </c>
      <c r="D191" s="2" t="s">
        <v>1814</v>
      </c>
      <c r="E191" s="2" t="s">
        <v>103</v>
      </c>
      <c r="F191" s="2" t="s">
        <v>1782</v>
      </c>
      <c r="G191" s="2" t="s">
        <v>619</v>
      </c>
      <c r="H191" s="2"/>
      <c r="I191" s="2" t="s">
        <v>1815</v>
      </c>
      <c r="J191" s="2" t="s">
        <v>1816</v>
      </c>
      <c r="K191" s="2" t="s">
        <v>1817</v>
      </c>
      <c r="L191" s="2" t="s">
        <v>1777</v>
      </c>
      <c r="M191" s="2"/>
      <c r="N191" s="2"/>
      <c r="O191" s="2" t="s">
        <v>1764</v>
      </c>
      <c r="P191" s="2" t="s">
        <v>1765</v>
      </c>
      <c r="Q191" s="2"/>
      <c r="R191" s="3" t="n">
        <v>0.81</v>
      </c>
      <c r="S191" s="3" t="n">
        <v>1.6</v>
      </c>
      <c r="T191" s="3" t="n">
        <v>2</v>
      </c>
      <c r="U191" s="2" t="s">
        <v>1818</v>
      </c>
      <c r="V191" s="2" t="s">
        <v>40</v>
      </c>
      <c r="W191" s="2" t="s">
        <v>1767</v>
      </c>
      <c r="X191" s="4" t="s">
        <v>42</v>
      </c>
      <c r="Y191" s="2" t="n">
        <v>16472911</v>
      </c>
    </row>
    <row r="192" customFormat="false" ht="15" hidden="false" customHeight="false" outlineLevel="0" collapsed="false">
      <c r="A192" s="2" t="s">
        <v>1153</v>
      </c>
      <c r="B192" s="2" t="s">
        <v>1072</v>
      </c>
      <c r="C192" s="2" t="s">
        <v>285</v>
      </c>
      <c r="D192" s="2" t="s">
        <v>1819</v>
      </c>
      <c r="E192" s="2" t="s">
        <v>90</v>
      </c>
      <c r="F192" s="2" t="s">
        <v>165</v>
      </c>
      <c r="G192" s="2" t="s">
        <v>437</v>
      </c>
      <c r="H192" s="2" t="s">
        <v>1820</v>
      </c>
      <c r="I192" s="2" t="s">
        <v>1821</v>
      </c>
      <c r="J192" s="2" t="s">
        <v>1822</v>
      </c>
      <c r="K192" s="2" t="s">
        <v>1823</v>
      </c>
      <c r="L192" s="2" t="s">
        <v>1452</v>
      </c>
      <c r="M192" s="2"/>
      <c r="N192" s="2"/>
      <c r="O192" s="2" t="s">
        <v>1764</v>
      </c>
      <c r="P192" s="2" t="s">
        <v>1765</v>
      </c>
      <c r="Q192" s="2"/>
      <c r="R192" s="3" t="n">
        <v>1</v>
      </c>
      <c r="S192" s="3" t="n">
        <v>1.6</v>
      </c>
      <c r="T192" s="3" t="n">
        <v>2.3</v>
      </c>
      <c r="U192" s="2" t="s">
        <v>1824</v>
      </c>
      <c r="V192" s="2" t="s">
        <v>40</v>
      </c>
      <c r="W192" s="2" t="s">
        <v>1767</v>
      </c>
      <c r="X192" s="4" t="s">
        <v>42</v>
      </c>
      <c r="Y192" s="2" t="n">
        <v>16472904</v>
      </c>
    </row>
    <row r="193" customFormat="false" ht="15" hidden="false" customHeight="false" outlineLevel="0" collapsed="false">
      <c r="A193" s="2" t="s">
        <v>1457</v>
      </c>
      <c r="B193" s="2" t="s">
        <v>1825</v>
      </c>
      <c r="C193" s="2" t="s">
        <v>1495</v>
      </c>
      <c r="D193" s="2" t="s">
        <v>1826</v>
      </c>
      <c r="E193" s="2" t="s">
        <v>1827</v>
      </c>
      <c r="F193" s="2" t="s">
        <v>165</v>
      </c>
      <c r="G193" s="2" t="s">
        <v>59</v>
      </c>
      <c r="H193" s="2" t="s">
        <v>1828</v>
      </c>
      <c r="I193" s="2" t="s">
        <v>1829</v>
      </c>
      <c r="J193" s="2" t="s">
        <v>1830</v>
      </c>
      <c r="K193" s="2" t="s">
        <v>1831</v>
      </c>
      <c r="L193" s="2" t="s">
        <v>1452</v>
      </c>
      <c r="M193" s="2"/>
      <c r="N193" s="2"/>
      <c r="O193" s="2" t="s">
        <v>1764</v>
      </c>
      <c r="P193" s="2" t="s">
        <v>1765</v>
      </c>
      <c r="Q193" s="2"/>
      <c r="R193" s="3" t="n">
        <v>0.86</v>
      </c>
      <c r="S193" s="3" t="n">
        <v>1.6</v>
      </c>
      <c r="T193" s="3" t="n">
        <v>2.1</v>
      </c>
      <c r="U193" s="2" t="s">
        <v>1832</v>
      </c>
      <c r="V193" s="2" t="s">
        <v>40</v>
      </c>
      <c r="W193" s="2" t="s">
        <v>1767</v>
      </c>
      <c r="X193" s="4" t="s">
        <v>42</v>
      </c>
      <c r="Y193" s="2" t="n">
        <v>16472895</v>
      </c>
    </row>
    <row r="194" customFormat="false" ht="15" hidden="false" customHeight="false" outlineLevel="0" collapsed="false">
      <c r="A194" s="2" t="s">
        <v>1833</v>
      </c>
      <c r="B194" s="2" t="s">
        <v>896</v>
      </c>
      <c r="C194" s="2" t="s">
        <v>494</v>
      </c>
      <c r="D194" s="2" t="s">
        <v>1834</v>
      </c>
      <c r="E194" s="2" t="s">
        <v>244</v>
      </c>
      <c r="F194" s="2" t="s">
        <v>1835</v>
      </c>
      <c r="G194" s="2" t="s">
        <v>1521</v>
      </c>
      <c r="H194" s="2" t="s">
        <v>1836</v>
      </c>
      <c r="I194" s="2" t="s">
        <v>1837</v>
      </c>
      <c r="J194" s="2" t="s">
        <v>1838</v>
      </c>
      <c r="K194" s="2" t="s">
        <v>1839</v>
      </c>
      <c r="L194" s="2" t="s">
        <v>1777</v>
      </c>
      <c r="M194" s="2"/>
      <c r="N194" s="2"/>
      <c r="O194" s="2" t="s">
        <v>1764</v>
      </c>
      <c r="P194" s="2" t="s">
        <v>1765</v>
      </c>
      <c r="Q194" s="2"/>
      <c r="R194" s="3" t="n">
        <v>0.85</v>
      </c>
      <c r="S194" s="3" t="n">
        <v>1.6</v>
      </c>
      <c r="T194" s="3" t="n">
        <v>2.1</v>
      </c>
      <c r="U194" s="2" t="s">
        <v>1840</v>
      </c>
      <c r="V194" s="2" t="s">
        <v>40</v>
      </c>
      <c r="W194" s="2" t="s">
        <v>1767</v>
      </c>
      <c r="X194" s="4" t="s">
        <v>42</v>
      </c>
      <c r="Y194" s="2" t="n">
        <v>16472853</v>
      </c>
    </row>
    <row r="195" customFormat="false" ht="15" hidden="false" customHeight="false" outlineLevel="0" collapsed="false">
      <c r="A195" s="2" t="s">
        <v>1841</v>
      </c>
      <c r="B195" s="2" t="s">
        <v>1842</v>
      </c>
      <c r="C195" s="2" t="s">
        <v>1843</v>
      </c>
      <c r="D195" s="2" t="s">
        <v>1844</v>
      </c>
      <c r="E195" s="2" t="s">
        <v>47</v>
      </c>
      <c r="F195" s="2" t="s">
        <v>30</v>
      </c>
      <c r="G195" s="2" t="s">
        <v>1845</v>
      </c>
      <c r="H195" s="2" t="s">
        <v>1846</v>
      </c>
      <c r="I195" s="2" t="s">
        <v>1847</v>
      </c>
      <c r="J195" s="2" t="s">
        <v>1848</v>
      </c>
      <c r="K195" s="2" t="s">
        <v>1849</v>
      </c>
      <c r="L195" s="2" t="s">
        <v>1452</v>
      </c>
      <c r="M195" s="2"/>
      <c r="N195" s="2"/>
      <c r="O195" s="2" t="s">
        <v>1764</v>
      </c>
      <c r="P195" s="2" t="s">
        <v>1765</v>
      </c>
      <c r="Q195" s="2"/>
      <c r="R195" s="3" t="n">
        <v>0.88</v>
      </c>
      <c r="S195" s="3" t="n">
        <v>1.6</v>
      </c>
      <c r="T195" s="3" t="n">
        <v>2.1</v>
      </c>
      <c r="U195" s="2" t="s">
        <v>1850</v>
      </c>
      <c r="V195" s="2" t="s">
        <v>40</v>
      </c>
      <c r="W195" s="2" t="s">
        <v>1767</v>
      </c>
      <c r="X195" s="4" t="s">
        <v>42</v>
      </c>
      <c r="Y195" s="2" t="n">
        <v>16472838</v>
      </c>
    </row>
    <row r="196" customFormat="false" ht="15" hidden="false" customHeight="false" outlineLevel="0" collapsed="false">
      <c r="A196" s="2" t="s">
        <v>1851</v>
      </c>
      <c r="B196" s="2" t="s">
        <v>1591</v>
      </c>
      <c r="C196" s="2" t="s">
        <v>45</v>
      </c>
      <c r="D196" s="2" t="s">
        <v>1852</v>
      </c>
      <c r="E196" s="2" t="s">
        <v>255</v>
      </c>
      <c r="F196" s="2" t="s">
        <v>165</v>
      </c>
      <c r="G196" s="2" t="s">
        <v>1853</v>
      </c>
      <c r="H196" s="2" t="s">
        <v>1854</v>
      </c>
      <c r="I196" s="2" t="s">
        <v>1855</v>
      </c>
      <c r="J196" s="2" t="s">
        <v>1856</v>
      </c>
      <c r="K196" s="2" t="s">
        <v>1857</v>
      </c>
      <c r="L196" s="2" t="s">
        <v>733</v>
      </c>
      <c r="M196" s="2"/>
      <c r="N196" s="2"/>
      <c r="O196" s="2" t="s">
        <v>1764</v>
      </c>
      <c r="P196" s="2" t="s">
        <v>1765</v>
      </c>
      <c r="Q196" s="2"/>
      <c r="R196" s="3" t="n">
        <v>0.97</v>
      </c>
      <c r="S196" s="3" t="n">
        <v>1.6</v>
      </c>
      <c r="T196" s="3" t="n">
        <v>2.3</v>
      </c>
      <c r="U196" s="2" t="s">
        <v>1858</v>
      </c>
      <c r="V196" s="2" t="s">
        <v>40</v>
      </c>
      <c r="W196" s="2" t="s">
        <v>1859</v>
      </c>
      <c r="X196" s="4" t="s">
        <v>42</v>
      </c>
      <c r="Y196" s="2" t="n">
        <v>16472767</v>
      </c>
    </row>
    <row r="197" customFormat="false" ht="15" hidden="false" customHeight="false" outlineLevel="0" collapsed="false">
      <c r="A197" s="2" t="s">
        <v>1144</v>
      </c>
      <c r="B197" s="2" t="s">
        <v>1860</v>
      </c>
      <c r="C197" s="2" t="s">
        <v>175</v>
      </c>
      <c r="D197" s="2" t="s">
        <v>1861</v>
      </c>
      <c r="E197" s="2" t="s">
        <v>255</v>
      </c>
      <c r="F197" s="2" t="s">
        <v>48</v>
      </c>
      <c r="G197" s="2" t="s">
        <v>1862</v>
      </c>
      <c r="H197" s="2"/>
      <c r="I197" s="2" t="s">
        <v>1863</v>
      </c>
      <c r="J197" s="2" t="s">
        <v>1864</v>
      </c>
      <c r="K197" s="2" t="s">
        <v>1865</v>
      </c>
      <c r="L197" s="2" t="s">
        <v>1452</v>
      </c>
      <c r="M197" s="2"/>
      <c r="N197" s="2"/>
      <c r="O197" s="2" t="s">
        <v>1764</v>
      </c>
      <c r="P197" s="2" t="s">
        <v>1765</v>
      </c>
      <c r="Q197" s="2"/>
      <c r="R197" s="3" t="n">
        <v>0.94</v>
      </c>
      <c r="S197" s="3" t="n">
        <v>1.6</v>
      </c>
      <c r="T197" s="3" t="n">
        <v>2.2</v>
      </c>
      <c r="U197" s="2" t="s">
        <v>1866</v>
      </c>
      <c r="V197" s="2" t="s">
        <v>40</v>
      </c>
      <c r="W197" s="2" t="s">
        <v>1859</v>
      </c>
      <c r="X197" s="4" t="s">
        <v>42</v>
      </c>
      <c r="Y197" s="2" t="n">
        <v>16472765</v>
      </c>
    </row>
    <row r="198" customFormat="false" ht="15" hidden="false" customHeight="false" outlineLevel="0" collapsed="false">
      <c r="A198" s="2" t="s">
        <v>274</v>
      </c>
      <c r="B198" s="2" t="s">
        <v>1867</v>
      </c>
      <c r="C198" s="2" t="s">
        <v>45</v>
      </c>
      <c r="D198" s="2" t="s">
        <v>1868</v>
      </c>
      <c r="E198" s="2" t="s">
        <v>90</v>
      </c>
      <c r="F198" s="2" t="s">
        <v>165</v>
      </c>
      <c r="G198" s="2" t="s">
        <v>1869</v>
      </c>
      <c r="H198" s="2" t="s">
        <v>1870</v>
      </c>
      <c r="I198" s="2" t="s">
        <v>1871</v>
      </c>
      <c r="J198" s="2" t="s">
        <v>1872</v>
      </c>
      <c r="K198" s="2" t="s">
        <v>1873</v>
      </c>
      <c r="L198" s="2" t="s">
        <v>1777</v>
      </c>
      <c r="M198" s="2"/>
      <c r="N198" s="2"/>
      <c r="O198" s="2" t="s">
        <v>1764</v>
      </c>
      <c r="P198" s="2" t="s">
        <v>1765</v>
      </c>
      <c r="Q198" s="2"/>
      <c r="R198" s="3" t="n">
        <v>0.93</v>
      </c>
      <c r="S198" s="3" t="n">
        <v>1.6</v>
      </c>
      <c r="T198" s="3" t="n">
        <v>2.2</v>
      </c>
      <c r="U198" s="2" t="s">
        <v>1874</v>
      </c>
      <c r="V198" s="2" t="s">
        <v>40</v>
      </c>
      <c r="W198" s="2" t="s">
        <v>1859</v>
      </c>
      <c r="X198" s="4" t="s">
        <v>42</v>
      </c>
      <c r="Y198" s="2" t="n">
        <v>16472764</v>
      </c>
    </row>
    <row r="199" customFormat="false" ht="15" hidden="false" customHeight="false" outlineLevel="0" collapsed="false">
      <c r="A199" s="2" t="s">
        <v>1875</v>
      </c>
      <c r="B199" s="2" t="s">
        <v>1876</v>
      </c>
      <c r="C199" s="2" t="s">
        <v>1877</v>
      </c>
      <c r="D199" s="2" t="s">
        <v>1878</v>
      </c>
      <c r="E199" s="2" t="s">
        <v>244</v>
      </c>
      <c r="F199" s="2" t="s">
        <v>1782</v>
      </c>
      <c r="G199" s="2" t="s">
        <v>1879</v>
      </c>
      <c r="H199" s="2" t="s">
        <v>1880</v>
      </c>
      <c r="I199" s="2" t="s">
        <v>1881</v>
      </c>
      <c r="J199" s="2" t="s">
        <v>1882</v>
      </c>
      <c r="K199" s="2" t="s">
        <v>1883</v>
      </c>
      <c r="L199" s="2" t="s">
        <v>1777</v>
      </c>
      <c r="M199" s="2"/>
      <c r="N199" s="2"/>
      <c r="O199" s="2" t="s">
        <v>1764</v>
      </c>
      <c r="P199" s="2" t="s">
        <v>1765</v>
      </c>
      <c r="Q199" s="2"/>
      <c r="R199" s="3" t="n">
        <v>0.81</v>
      </c>
      <c r="S199" s="3" t="n">
        <v>1.6</v>
      </c>
      <c r="T199" s="3" t="n">
        <v>2</v>
      </c>
      <c r="U199" s="2" t="s">
        <v>1884</v>
      </c>
      <c r="V199" s="2" t="s">
        <v>40</v>
      </c>
      <c r="W199" s="2" t="s">
        <v>1859</v>
      </c>
      <c r="X199" s="4" t="s">
        <v>42</v>
      </c>
      <c r="Y199" s="2" t="n">
        <v>16472704</v>
      </c>
    </row>
    <row r="200" customFormat="false" ht="15" hidden="false" customHeight="false" outlineLevel="0" collapsed="false">
      <c r="A200" s="2" t="s">
        <v>1885</v>
      </c>
      <c r="B200" s="2" t="s">
        <v>1886</v>
      </c>
      <c r="C200" s="2" t="s">
        <v>1887</v>
      </c>
      <c r="D200" s="2" t="s">
        <v>1888</v>
      </c>
      <c r="E200" s="2" t="s">
        <v>1692</v>
      </c>
      <c r="F200" s="2" t="s">
        <v>30</v>
      </c>
      <c r="G200" s="2" t="s">
        <v>1889</v>
      </c>
      <c r="H200" s="2" t="s">
        <v>1890</v>
      </c>
      <c r="I200" s="2" t="s">
        <v>1891</v>
      </c>
      <c r="J200" s="2" t="s">
        <v>1892</v>
      </c>
      <c r="K200" s="2" t="s">
        <v>1887</v>
      </c>
      <c r="L200" s="2" t="s">
        <v>1452</v>
      </c>
      <c r="M200" s="2"/>
      <c r="N200" s="2"/>
      <c r="O200" s="2" t="s">
        <v>1764</v>
      </c>
      <c r="P200" s="2" t="s">
        <v>1765</v>
      </c>
      <c r="Q200" s="2"/>
      <c r="R200" s="3" t="n">
        <v>0.91</v>
      </c>
      <c r="S200" s="3" t="n">
        <v>1.6</v>
      </c>
      <c r="T200" s="3" t="n">
        <v>2.2</v>
      </c>
      <c r="U200" s="2" t="s">
        <v>1893</v>
      </c>
      <c r="V200" s="2" t="s">
        <v>40</v>
      </c>
      <c r="W200" s="2" t="s">
        <v>1859</v>
      </c>
      <c r="X200" s="4" t="s">
        <v>42</v>
      </c>
      <c r="Y200" s="2" t="n">
        <v>16472692</v>
      </c>
    </row>
    <row r="201" customFormat="false" ht="15" hidden="false" customHeight="false" outlineLevel="0" collapsed="false">
      <c r="A201" s="2" t="s">
        <v>512</v>
      </c>
      <c r="B201" s="2" t="s">
        <v>1894</v>
      </c>
      <c r="C201" s="2" t="s">
        <v>1895</v>
      </c>
      <c r="D201" s="2" t="s">
        <v>1896</v>
      </c>
      <c r="E201" s="2" t="s">
        <v>90</v>
      </c>
      <c r="F201" s="2" t="s">
        <v>30</v>
      </c>
      <c r="G201" s="2" t="s">
        <v>1897</v>
      </c>
      <c r="H201" s="2" t="s">
        <v>1898</v>
      </c>
      <c r="I201" s="2" t="s">
        <v>1899</v>
      </c>
      <c r="J201" s="2" t="s">
        <v>1900</v>
      </c>
      <c r="K201" s="2" t="s">
        <v>1901</v>
      </c>
      <c r="L201" s="2" t="s">
        <v>1777</v>
      </c>
      <c r="M201" s="2"/>
      <c r="N201" s="2"/>
      <c r="O201" s="2" t="s">
        <v>1764</v>
      </c>
      <c r="P201" s="2" t="s">
        <v>1765</v>
      </c>
      <c r="Q201" s="2"/>
      <c r="R201" s="3" t="n">
        <v>0.96</v>
      </c>
      <c r="S201" s="3" t="n">
        <v>1.6</v>
      </c>
      <c r="T201" s="3" t="n">
        <v>2.2</v>
      </c>
      <c r="U201" s="2" t="s">
        <v>1902</v>
      </c>
      <c r="V201" s="2" t="s">
        <v>40</v>
      </c>
      <c r="W201" s="2" t="s">
        <v>1859</v>
      </c>
      <c r="X201" s="4" t="s">
        <v>42</v>
      </c>
      <c r="Y201" s="2" t="n">
        <v>16472645</v>
      </c>
    </row>
    <row r="202" customFormat="false" ht="15" hidden="false" customHeight="false" outlineLevel="0" collapsed="false">
      <c r="A202" s="2" t="s">
        <v>1903</v>
      </c>
      <c r="B202" s="2" t="s">
        <v>1904</v>
      </c>
      <c r="C202" s="2" t="s">
        <v>1895</v>
      </c>
      <c r="D202" s="2" t="s">
        <v>1905</v>
      </c>
      <c r="E202" s="2" t="s">
        <v>47</v>
      </c>
      <c r="F202" s="2" t="s">
        <v>30</v>
      </c>
      <c r="G202" s="2" t="s">
        <v>202</v>
      </c>
      <c r="H202" s="2"/>
      <c r="I202" s="2" t="s">
        <v>1906</v>
      </c>
      <c r="J202" s="2" t="s">
        <v>1907</v>
      </c>
      <c r="K202" s="2" t="s">
        <v>1908</v>
      </c>
      <c r="L202" s="2" t="s">
        <v>1452</v>
      </c>
      <c r="M202" s="2"/>
      <c r="N202" s="2"/>
      <c r="O202" s="2" t="s">
        <v>1764</v>
      </c>
      <c r="P202" s="2" t="s">
        <v>1765</v>
      </c>
      <c r="Q202" s="2"/>
      <c r="R202" s="3" t="n">
        <v>0.88</v>
      </c>
      <c r="S202" s="3" t="n">
        <v>1.6</v>
      </c>
      <c r="T202" s="3" t="n">
        <v>2.1</v>
      </c>
      <c r="U202" s="2" t="s">
        <v>1909</v>
      </c>
      <c r="V202" s="2" t="s">
        <v>40</v>
      </c>
      <c r="W202" s="2" t="s">
        <v>1859</v>
      </c>
      <c r="X202" s="4" t="s">
        <v>42</v>
      </c>
      <c r="Y202" s="2" t="n">
        <v>16472641</v>
      </c>
    </row>
    <row r="203" customFormat="false" ht="15" hidden="false" customHeight="false" outlineLevel="0" collapsed="false">
      <c r="A203" s="2" t="s">
        <v>1910</v>
      </c>
      <c r="B203" s="2" t="s">
        <v>1911</v>
      </c>
      <c r="C203" s="2" t="s">
        <v>1912</v>
      </c>
      <c r="D203" s="2" t="s">
        <v>1913</v>
      </c>
      <c r="E203" s="2" t="s">
        <v>90</v>
      </c>
      <c r="F203" s="2" t="s">
        <v>30</v>
      </c>
      <c r="G203" s="2" t="s">
        <v>59</v>
      </c>
      <c r="H203" s="2" t="s">
        <v>1914</v>
      </c>
      <c r="I203" s="2" t="s">
        <v>1915</v>
      </c>
      <c r="J203" s="2" t="s">
        <v>1916</v>
      </c>
      <c r="K203" s="2" t="s">
        <v>1917</v>
      </c>
      <c r="L203" s="2" t="s">
        <v>1452</v>
      </c>
      <c r="M203" s="2"/>
      <c r="N203" s="2"/>
      <c r="O203" s="2" t="s">
        <v>1764</v>
      </c>
      <c r="P203" s="2" t="s">
        <v>1765</v>
      </c>
      <c r="Q203" s="2"/>
      <c r="R203" s="3" t="n">
        <v>0.93</v>
      </c>
      <c r="S203" s="3" t="n">
        <v>1.6</v>
      </c>
      <c r="T203" s="3" t="n">
        <v>2.2</v>
      </c>
      <c r="U203" s="2" t="s">
        <v>1918</v>
      </c>
      <c r="V203" s="2" t="s">
        <v>40</v>
      </c>
      <c r="W203" s="2" t="s">
        <v>1859</v>
      </c>
      <c r="X203" s="4" t="s">
        <v>42</v>
      </c>
      <c r="Y203" s="2" t="n">
        <v>16472626</v>
      </c>
    </row>
    <row r="204" customFormat="false" ht="15" hidden="false" customHeight="false" outlineLevel="0" collapsed="false">
      <c r="A204" s="2" t="s">
        <v>1919</v>
      </c>
      <c r="B204" s="2" t="s">
        <v>1920</v>
      </c>
      <c r="C204" s="2" t="s">
        <v>27</v>
      </c>
      <c r="D204" s="2" t="s">
        <v>1921</v>
      </c>
      <c r="E204" s="2" t="s">
        <v>103</v>
      </c>
      <c r="F204" s="2" t="s">
        <v>30</v>
      </c>
      <c r="G204" s="2" t="s">
        <v>59</v>
      </c>
      <c r="H204" s="2"/>
      <c r="I204" s="2" t="s">
        <v>1922</v>
      </c>
      <c r="J204" s="2" t="s">
        <v>1923</v>
      </c>
      <c r="K204" s="2" t="s">
        <v>1924</v>
      </c>
      <c r="L204" s="2" t="s">
        <v>1777</v>
      </c>
      <c r="M204" s="2"/>
      <c r="N204" s="2"/>
      <c r="O204" s="2" t="s">
        <v>1764</v>
      </c>
      <c r="P204" s="2" t="s">
        <v>1765</v>
      </c>
      <c r="Q204" s="2"/>
      <c r="R204" s="3" t="n">
        <v>0.85</v>
      </c>
      <c r="S204" s="3" t="n">
        <v>1.6</v>
      </c>
      <c r="T204" s="3" t="n">
        <v>2.1</v>
      </c>
      <c r="U204" s="2" t="s">
        <v>1925</v>
      </c>
      <c r="V204" s="2" t="s">
        <v>40</v>
      </c>
      <c r="W204" s="2" t="s">
        <v>1859</v>
      </c>
      <c r="X204" s="4" t="s">
        <v>42</v>
      </c>
      <c r="Y204" s="2" t="n">
        <v>16472588</v>
      </c>
    </row>
    <row r="205" customFormat="false" ht="15" hidden="false" customHeight="false" outlineLevel="0" collapsed="false">
      <c r="A205" s="2" t="s">
        <v>1926</v>
      </c>
      <c r="B205" s="2" t="s">
        <v>1927</v>
      </c>
      <c r="C205" s="2" t="s">
        <v>1928</v>
      </c>
      <c r="D205" s="2" t="s">
        <v>1929</v>
      </c>
      <c r="E205" s="2" t="s">
        <v>1930</v>
      </c>
      <c r="F205" s="2" t="s">
        <v>30</v>
      </c>
      <c r="G205" s="2" t="s">
        <v>756</v>
      </c>
      <c r="H205" s="2" t="s">
        <v>1931</v>
      </c>
      <c r="I205" s="2" t="s">
        <v>1932</v>
      </c>
      <c r="J205" s="2" t="s">
        <v>1933</v>
      </c>
      <c r="K205" s="2" t="s">
        <v>1934</v>
      </c>
      <c r="L205" s="2" t="s">
        <v>1935</v>
      </c>
      <c r="M205" s="2"/>
      <c r="N205" s="2"/>
      <c r="O205" s="2" t="s">
        <v>1764</v>
      </c>
      <c r="P205" s="2" t="s">
        <v>1765</v>
      </c>
      <c r="Q205" s="2"/>
      <c r="R205" s="3" t="n">
        <v>0.81</v>
      </c>
      <c r="S205" s="3" t="n">
        <v>1.6</v>
      </c>
      <c r="T205" s="3" t="n">
        <v>2</v>
      </c>
      <c r="U205" s="2" t="s">
        <v>1936</v>
      </c>
      <c r="V205" s="2" t="s">
        <v>40</v>
      </c>
      <c r="W205" s="2" t="s">
        <v>1859</v>
      </c>
      <c r="X205" s="4" t="s">
        <v>42</v>
      </c>
      <c r="Y205" s="2" t="n">
        <v>16472576</v>
      </c>
    </row>
    <row r="206" customFormat="false" ht="15" hidden="false" customHeight="false" outlineLevel="0" collapsed="false">
      <c r="A206" s="2" t="s">
        <v>864</v>
      </c>
      <c r="B206" s="2" t="s">
        <v>1937</v>
      </c>
      <c r="C206" s="2" t="s">
        <v>1938</v>
      </c>
      <c r="D206" s="2" t="s">
        <v>1939</v>
      </c>
      <c r="E206" s="2" t="s">
        <v>103</v>
      </c>
      <c r="F206" s="2" t="s">
        <v>30</v>
      </c>
      <c r="G206" s="2" t="s">
        <v>847</v>
      </c>
      <c r="H206" s="2"/>
      <c r="I206" s="2" t="s">
        <v>1940</v>
      </c>
      <c r="J206" s="2" t="s">
        <v>1941</v>
      </c>
      <c r="K206" s="2" t="s">
        <v>1942</v>
      </c>
      <c r="L206" s="2" t="s">
        <v>1452</v>
      </c>
      <c r="M206" s="2"/>
      <c r="N206" s="2"/>
      <c r="O206" s="2" t="s">
        <v>1764</v>
      </c>
      <c r="P206" s="2" t="s">
        <v>1765</v>
      </c>
      <c r="Q206" s="2"/>
      <c r="R206" s="3" t="n">
        <v>0.91</v>
      </c>
      <c r="S206" s="3" t="n">
        <v>1.6</v>
      </c>
      <c r="T206" s="3" t="n">
        <v>2.2</v>
      </c>
      <c r="U206" s="2" t="s">
        <v>1943</v>
      </c>
      <c r="V206" s="2" t="s">
        <v>40</v>
      </c>
      <c r="W206" s="2" t="s">
        <v>1859</v>
      </c>
      <c r="X206" s="4" t="s">
        <v>42</v>
      </c>
      <c r="Y206" s="2" t="n">
        <v>16472522</v>
      </c>
    </row>
    <row r="207" customFormat="false" ht="15" hidden="false" customHeight="false" outlineLevel="0" collapsed="false">
      <c r="A207" s="2" t="s">
        <v>1944</v>
      </c>
      <c r="B207" s="2" t="s">
        <v>1945</v>
      </c>
      <c r="C207" s="2" t="s">
        <v>1895</v>
      </c>
      <c r="D207" s="2" t="s">
        <v>1946</v>
      </c>
      <c r="E207" s="2" t="s">
        <v>244</v>
      </c>
      <c r="F207" s="2" t="s">
        <v>30</v>
      </c>
      <c r="G207" s="2" t="s">
        <v>1947</v>
      </c>
      <c r="H207" s="2"/>
      <c r="I207" s="2" t="s">
        <v>1948</v>
      </c>
      <c r="J207" s="2" t="s">
        <v>1949</v>
      </c>
      <c r="K207" s="2" t="s">
        <v>1950</v>
      </c>
      <c r="L207" s="2" t="s">
        <v>1452</v>
      </c>
      <c r="M207" s="2"/>
      <c r="N207" s="2"/>
      <c r="O207" s="2" t="s">
        <v>1764</v>
      </c>
      <c r="P207" s="2" t="s">
        <v>1765</v>
      </c>
      <c r="Q207" s="2"/>
      <c r="R207" s="3" t="n">
        <v>0.96</v>
      </c>
      <c r="S207" s="3" t="n">
        <v>1.6</v>
      </c>
      <c r="T207" s="3" t="n">
        <v>2.2</v>
      </c>
      <c r="U207" s="2" t="s">
        <v>1951</v>
      </c>
      <c r="V207" s="2" t="s">
        <v>40</v>
      </c>
      <c r="W207" s="2" t="s">
        <v>1859</v>
      </c>
      <c r="X207" s="4" t="s">
        <v>42</v>
      </c>
      <c r="Y207" s="2" t="n">
        <v>16472506</v>
      </c>
    </row>
    <row r="208" customFormat="false" ht="15" hidden="false" customHeight="false" outlineLevel="0" collapsed="false">
      <c r="A208" s="2" t="s">
        <v>1903</v>
      </c>
      <c r="B208" s="2" t="s">
        <v>1952</v>
      </c>
      <c r="C208" s="2" t="s">
        <v>1953</v>
      </c>
      <c r="D208" s="2" t="s">
        <v>1954</v>
      </c>
      <c r="E208" s="2" t="s">
        <v>90</v>
      </c>
      <c r="F208" s="2" t="s">
        <v>30</v>
      </c>
      <c r="G208" s="2" t="s">
        <v>59</v>
      </c>
      <c r="H208" s="2" t="s">
        <v>1955</v>
      </c>
      <c r="I208" s="2" t="s">
        <v>1956</v>
      </c>
      <c r="J208" s="2" t="s">
        <v>1957</v>
      </c>
      <c r="K208" s="2" t="s">
        <v>1958</v>
      </c>
      <c r="L208" s="2" t="s">
        <v>1777</v>
      </c>
      <c r="M208" s="2"/>
      <c r="N208" s="2"/>
      <c r="O208" s="2" t="s">
        <v>1764</v>
      </c>
      <c r="P208" s="2" t="s">
        <v>1765</v>
      </c>
      <c r="Q208" s="2"/>
      <c r="R208" s="3" t="n">
        <v>1</v>
      </c>
      <c r="S208" s="3" t="n">
        <v>1.6</v>
      </c>
      <c r="T208" s="3" t="n">
        <v>2.3</v>
      </c>
      <c r="U208" s="2" t="s">
        <v>1959</v>
      </c>
      <c r="V208" s="2" t="s">
        <v>40</v>
      </c>
      <c r="W208" s="2" t="s">
        <v>1859</v>
      </c>
      <c r="X208" s="4" t="s">
        <v>42</v>
      </c>
      <c r="Y208" s="2" t="n">
        <v>16472503</v>
      </c>
    </row>
    <row r="209" customFormat="false" ht="15" hidden="false" customHeight="false" outlineLevel="0" collapsed="false">
      <c r="A209" s="2" t="s">
        <v>1960</v>
      </c>
      <c r="B209" s="2" t="s">
        <v>1961</v>
      </c>
      <c r="C209" s="2" t="s">
        <v>1962</v>
      </c>
      <c r="D209" s="2" t="s">
        <v>1963</v>
      </c>
      <c r="E209" s="2" t="s">
        <v>90</v>
      </c>
      <c r="F209" s="2" t="s">
        <v>165</v>
      </c>
      <c r="G209" s="2" t="s">
        <v>287</v>
      </c>
      <c r="H209" s="2" t="s">
        <v>1964</v>
      </c>
      <c r="I209" s="2" t="s">
        <v>1965</v>
      </c>
      <c r="J209" s="2" t="s">
        <v>1966</v>
      </c>
      <c r="K209" s="2" t="s">
        <v>1967</v>
      </c>
      <c r="L209" s="2" t="s">
        <v>1668</v>
      </c>
      <c r="M209" s="2"/>
      <c r="N209" s="2"/>
      <c r="O209" s="2" t="s">
        <v>37</v>
      </c>
      <c r="P209" s="2" t="s">
        <v>38</v>
      </c>
      <c r="Q209" s="2"/>
      <c r="R209" s="3" t="n">
        <v>0.92</v>
      </c>
      <c r="S209" s="3" t="n">
        <v>1.2</v>
      </c>
      <c r="T209" s="3" t="n">
        <v>2</v>
      </c>
      <c r="U209" s="2" t="s">
        <v>1968</v>
      </c>
      <c r="V209" s="2" t="s">
        <v>40</v>
      </c>
      <c r="W209" s="2" t="s">
        <v>1969</v>
      </c>
      <c r="X209" s="4" t="s">
        <v>42</v>
      </c>
      <c r="Y209" s="2" t="n">
        <v>16402939</v>
      </c>
    </row>
    <row r="210" customFormat="false" ht="15" hidden="false" customHeight="false" outlineLevel="0" collapsed="false">
      <c r="A210" s="2" t="s">
        <v>1970</v>
      </c>
      <c r="B210" s="2" t="s">
        <v>1971</v>
      </c>
      <c r="C210" s="2" t="s">
        <v>1972</v>
      </c>
      <c r="D210" s="2" t="s">
        <v>1973</v>
      </c>
      <c r="E210" s="2" t="s">
        <v>103</v>
      </c>
      <c r="F210" s="2" t="s">
        <v>165</v>
      </c>
      <c r="G210" s="2" t="s">
        <v>448</v>
      </c>
      <c r="H210" s="2" t="s">
        <v>1974</v>
      </c>
      <c r="I210" s="2" t="s">
        <v>1975</v>
      </c>
      <c r="J210" s="2" t="s">
        <v>1976</v>
      </c>
      <c r="K210" s="2" t="s">
        <v>1977</v>
      </c>
      <c r="L210" s="2" t="s">
        <v>1978</v>
      </c>
      <c r="M210" s="2"/>
      <c r="N210" s="2"/>
      <c r="O210" s="2" t="s">
        <v>37</v>
      </c>
      <c r="P210" s="2" t="s">
        <v>38</v>
      </c>
      <c r="Q210" s="2"/>
      <c r="R210" s="3" t="n">
        <v>0.92</v>
      </c>
      <c r="S210" s="3" t="n">
        <v>1.2</v>
      </c>
      <c r="T210" s="3" t="n">
        <v>2</v>
      </c>
      <c r="U210" s="2" t="s">
        <v>1979</v>
      </c>
      <c r="V210" s="2" t="s">
        <v>40</v>
      </c>
      <c r="W210" s="2" t="s">
        <v>1969</v>
      </c>
      <c r="X210" s="4" t="s">
        <v>42</v>
      </c>
      <c r="Y210" s="2" t="n">
        <v>16402927</v>
      </c>
    </row>
    <row r="211" customFormat="false" ht="15" hidden="false" customHeight="false" outlineLevel="0" collapsed="false">
      <c r="A211" s="2" t="s">
        <v>1980</v>
      </c>
      <c r="B211" s="2" t="s">
        <v>1981</v>
      </c>
      <c r="C211" s="2" t="s">
        <v>1660</v>
      </c>
      <c r="D211" s="2" t="s">
        <v>1982</v>
      </c>
      <c r="E211" s="2" t="s">
        <v>103</v>
      </c>
      <c r="F211" s="2" t="s">
        <v>1983</v>
      </c>
      <c r="G211" s="2" t="s">
        <v>1984</v>
      </c>
      <c r="H211" s="2" t="s">
        <v>1985</v>
      </c>
      <c r="I211" s="2" t="s">
        <v>1986</v>
      </c>
      <c r="J211" s="2" t="s">
        <v>1987</v>
      </c>
      <c r="K211" s="2" t="s">
        <v>1988</v>
      </c>
      <c r="L211" s="2" t="s">
        <v>623</v>
      </c>
      <c r="M211" s="2"/>
      <c r="N211" s="2"/>
      <c r="O211" s="2" t="s">
        <v>37</v>
      </c>
      <c r="P211" s="2" t="s">
        <v>38</v>
      </c>
      <c r="Q211" s="2"/>
      <c r="R211" s="3" t="n">
        <v>0.97</v>
      </c>
      <c r="S211" s="3" t="n">
        <v>1.2</v>
      </c>
      <c r="T211" s="3" t="n">
        <v>2.1</v>
      </c>
      <c r="U211" s="2" t="s">
        <v>1989</v>
      </c>
      <c r="V211" s="2" t="s">
        <v>40</v>
      </c>
      <c r="W211" s="2" t="s">
        <v>1969</v>
      </c>
      <c r="X211" s="4" t="s">
        <v>42</v>
      </c>
      <c r="Y211" s="2" t="n">
        <v>16402877</v>
      </c>
    </row>
    <row r="212" customFormat="false" ht="15" hidden="false" customHeight="false" outlineLevel="0" collapsed="false">
      <c r="A212" s="2" t="s">
        <v>1161</v>
      </c>
      <c r="B212" s="2" t="s">
        <v>1990</v>
      </c>
      <c r="C212" s="2" t="s">
        <v>1895</v>
      </c>
      <c r="D212" s="2" t="s">
        <v>1991</v>
      </c>
      <c r="E212" s="2" t="s">
        <v>244</v>
      </c>
      <c r="F212" s="2" t="s">
        <v>30</v>
      </c>
      <c r="G212" s="2" t="s">
        <v>287</v>
      </c>
      <c r="H212" s="2" t="s">
        <v>1992</v>
      </c>
      <c r="I212" s="2" t="s">
        <v>1993</v>
      </c>
      <c r="J212" s="2" t="s">
        <v>1994</v>
      </c>
      <c r="K212" s="2" t="s">
        <v>1995</v>
      </c>
      <c r="L212" s="2" t="s">
        <v>841</v>
      </c>
      <c r="M212" s="2"/>
      <c r="N212" s="2"/>
      <c r="O212" s="2" t="s">
        <v>37</v>
      </c>
      <c r="P212" s="2" t="s">
        <v>38</v>
      </c>
      <c r="Q212" s="2"/>
      <c r="R212" s="3" t="n">
        <v>0.95</v>
      </c>
      <c r="S212" s="3" t="n">
        <v>1.2</v>
      </c>
      <c r="T212" s="3" t="n">
        <v>2</v>
      </c>
      <c r="U212" s="2" t="s">
        <v>1996</v>
      </c>
      <c r="V212" s="2" t="s">
        <v>40</v>
      </c>
      <c r="W212" s="2" t="s">
        <v>1969</v>
      </c>
      <c r="X212" s="4" t="s">
        <v>42</v>
      </c>
      <c r="Y212" s="2" t="n">
        <v>16402863</v>
      </c>
    </row>
    <row r="213" customFormat="false" ht="15" hidden="false" customHeight="false" outlineLevel="0" collapsed="false">
      <c r="A213" s="2" t="s">
        <v>1997</v>
      </c>
      <c r="B213" s="2" t="s">
        <v>1998</v>
      </c>
      <c r="C213" s="2" t="s">
        <v>1660</v>
      </c>
      <c r="D213" s="2" t="s">
        <v>1999</v>
      </c>
      <c r="E213" s="2" t="s">
        <v>103</v>
      </c>
      <c r="F213" s="2" t="s">
        <v>165</v>
      </c>
      <c r="G213" s="2" t="s">
        <v>878</v>
      </c>
      <c r="H213" s="2" t="s">
        <v>2000</v>
      </c>
      <c r="I213" s="2" t="s">
        <v>2001</v>
      </c>
      <c r="J213" s="2" t="s">
        <v>2002</v>
      </c>
      <c r="K213" s="2" t="s">
        <v>2003</v>
      </c>
      <c r="L213" s="2" t="s">
        <v>238</v>
      </c>
      <c r="M213" s="2"/>
      <c r="N213" s="2"/>
      <c r="O213" s="2" t="s">
        <v>37</v>
      </c>
      <c r="P213" s="2" t="s">
        <v>38</v>
      </c>
      <c r="Q213" s="2"/>
      <c r="R213" s="3" t="n">
        <v>0.9</v>
      </c>
      <c r="S213" s="3" t="n">
        <v>1.2</v>
      </c>
      <c r="T213" s="3" t="n">
        <v>2</v>
      </c>
      <c r="U213" s="2" t="s">
        <v>2004</v>
      </c>
      <c r="V213" s="2" t="s">
        <v>40</v>
      </c>
      <c r="W213" s="2" t="s">
        <v>1969</v>
      </c>
      <c r="X213" s="4" t="s">
        <v>42</v>
      </c>
      <c r="Y213" s="2" t="n">
        <v>16402852</v>
      </c>
    </row>
    <row r="214" customFormat="false" ht="15" hidden="false" customHeight="false" outlineLevel="0" collapsed="false">
      <c r="A214" s="2" t="s">
        <v>864</v>
      </c>
      <c r="B214" s="2" t="s">
        <v>2005</v>
      </c>
      <c r="C214" s="2" t="s">
        <v>2006</v>
      </c>
      <c r="D214" s="2" t="s">
        <v>2007</v>
      </c>
      <c r="E214" s="2" t="s">
        <v>103</v>
      </c>
      <c r="F214" s="2" t="s">
        <v>165</v>
      </c>
      <c r="G214" s="2" t="s">
        <v>2008</v>
      </c>
      <c r="H214" s="2" t="s">
        <v>2009</v>
      </c>
      <c r="I214" s="2" t="s">
        <v>2010</v>
      </c>
      <c r="J214" s="2" t="s">
        <v>2011</v>
      </c>
      <c r="K214" s="2" t="s">
        <v>2012</v>
      </c>
      <c r="L214" s="2" t="s">
        <v>2013</v>
      </c>
      <c r="M214" s="2"/>
      <c r="N214" s="2"/>
      <c r="O214" s="2" t="s">
        <v>37</v>
      </c>
      <c r="P214" s="2" t="s">
        <v>38</v>
      </c>
      <c r="Q214" s="2"/>
      <c r="R214" s="3" t="n">
        <v>0.98</v>
      </c>
      <c r="S214" s="3" t="n">
        <v>1.2</v>
      </c>
      <c r="T214" s="3" t="n">
        <v>2.1</v>
      </c>
      <c r="U214" s="2" t="s">
        <v>2014</v>
      </c>
      <c r="V214" s="2" t="s">
        <v>40</v>
      </c>
      <c r="W214" s="2" t="s">
        <v>1969</v>
      </c>
      <c r="X214" s="4" t="s">
        <v>42</v>
      </c>
      <c r="Y214" s="2" t="n">
        <v>16402842</v>
      </c>
    </row>
    <row r="215" customFormat="false" ht="15" hidden="false" customHeight="false" outlineLevel="0" collapsed="false">
      <c r="A215" s="2" t="s">
        <v>2015</v>
      </c>
      <c r="B215" s="2" t="s">
        <v>2016</v>
      </c>
      <c r="C215" s="2" t="s">
        <v>2017</v>
      </c>
      <c r="D215" s="2" t="s">
        <v>2018</v>
      </c>
      <c r="E215" s="2" t="s">
        <v>244</v>
      </c>
      <c r="F215" s="2" t="s">
        <v>165</v>
      </c>
      <c r="G215" s="2" t="s">
        <v>857</v>
      </c>
      <c r="H215" s="2" t="s">
        <v>2019</v>
      </c>
      <c r="I215" s="2" t="s">
        <v>2020</v>
      </c>
      <c r="J215" s="2" t="s">
        <v>2021</v>
      </c>
      <c r="K215" s="2" t="s">
        <v>2022</v>
      </c>
      <c r="L215" s="2" t="s">
        <v>2023</v>
      </c>
      <c r="M215" s="2"/>
      <c r="N215" s="2"/>
      <c r="O215" s="2" t="s">
        <v>37</v>
      </c>
      <c r="P215" s="2" t="s">
        <v>38</v>
      </c>
      <c r="Q215" s="2"/>
      <c r="R215" s="3" t="n">
        <v>0.88</v>
      </c>
      <c r="S215" s="3" t="n">
        <v>1.2</v>
      </c>
      <c r="T215" s="3" t="n">
        <v>1.9</v>
      </c>
      <c r="U215" s="2" t="s">
        <v>2024</v>
      </c>
      <c r="V215" s="2" t="s">
        <v>40</v>
      </c>
      <c r="W215" s="2" t="s">
        <v>1969</v>
      </c>
      <c r="X215" s="4" t="s">
        <v>42</v>
      </c>
      <c r="Y215" s="2" t="n">
        <v>16402836</v>
      </c>
    </row>
    <row r="216" customFormat="false" ht="15" hidden="false" customHeight="false" outlineLevel="0" collapsed="false">
      <c r="A216" s="2" t="s">
        <v>2025</v>
      </c>
      <c r="B216" s="2" t="s">
        <v>2026</v>
      </c>
      <c r="C216" s="2" t="s">
        <v>2027</v>
      </c>
      <c r="D216" s="2" t="s">
        <v>2028</v>
      </c>
      <c r="E216" s="2" t="s">
        <v>244</v>
      </c>
      <c r="F216" s="2" t="s">
        <v>30</v>
      </c>
      <c r="G216" s="2" t="s">
        <v>2029</v>
      </c>
      <c r="H216" s="2" t="s">
        <v>2030</v>
      </c>
      <c r="I216" s="2" t="s">
        <v>2031</v>
      </c>
      <c r="J216" s="2" t="s">
        <v>2032</v>
      </c>
      <c r="K216" s="2" t="s">
        <v>2033</v>
      </c>
      <c r="L216" s="2" t="s">
        <v>2034</v>
      </c>
      <c r="M216" s="2"/>
      <c r="N216" s="2"/>
      <c r="O216" s="2" t="s">
        <v>37</v>
      </c>
      <c r="P216" s="2" t="s">
        <v>38</v>
      </c>
      <c r="Q216" s="2"/>
      <c r="R216" s="3" t="n">
        <v>1</v>
      </c>
      <c r="S216" s="3" t="n">
        <v>1.2</v>
      </c>
      <c r="T216" s="3" t="n">
        <v>2.1</v>
      </c>
      <c r="U216" s="2" t="s">
        <v>422</v>
      </c>
      <c r="V216" s="2" t="s">
        <v>40</v>
      </c>
      <c r="W216" s="2" t="s">
        <v>2035</v>
      </c>
      <c r="X216" s="4" t="s">
        <v>42</v>
      </c>
      <c r="Y216" s="2" t="n">
        <v>16402816</v>
      </c>
    </row>
    <row r="217" customFormat="false" ht="15" hidden="false" customHeight="false" outlineLevel="0" collapsed="false">
      <c r="A217" s="2" t="s">
        <v>2036</v>
      </c>
      <c r="B217" s="2" t="s">
        <v>2037</v>
      </c>
      <c r="C217" s="2" t="s">
        <v>45</v>
      </c>
      <c r="D217" s="2" t="s">
        <v>2038</v>
      </c>
      <c r="E217" s="2" t="s">
        <v>47</v>
      </c>
      <c r="F217" s="2" t="s">
        <v>2039</v>
      </c>
      <c r="G217" s="2" t="s">
        <v>330</v>
      </c>
      <c r="H217" s="2" t="s">
        <v>2040</v>
      </c>
      <c r="I217" s="2" t="s">
        <v>2041</v>
      </c>
      <c r="J217" s="2" t="s">
        <v>2042</v>
      </c>
      <c r="K217" s="2" t="s">
        <v>2043</v>
      </c>
      <c r="L217" s="2" t="s">
        <v>2044</v>
      </c>
      <c r="M217" s="2"/>
      <c r="N217" s="2"/>
      <c r="O217" s="2" t="s">
        <v>37</v>
      </c>
      <c r="P217" s="2" t="s">
        <v>38</v>
      </c>
      <c r="Q217" s="2"/>
      <c r="R217" s="3" t="n">
        <v>0.91</v>
      </c>
      <c r="S217" s="3" t="n">
        <v>1.2</v>
      </c>
      <c r="T217" s="3" t="n">
        <v>2</v>
      </c>
      <c r="U217" s="2" t="s">
        <v>2045</v>
      </c>
      <c r="V217" s="2" t="s">
        <v>40</v>
      </c>
      <c r="W217" s="2" t="s">
        <v>2035</v>
      </c>
      <c r="X217" s="4" t="s">
        <v>42</v>
      </c>
      <c r="Y217" s="2" t="n">
        <v>16402801</v>
      </c>
    </row>
    <row r="218" customFormat="false" ht="15" hidden="false" customHeight="false" outlineLevel="0" collapsed="false">
      <c r="A218" s="2" t="s">
        <v>2046</v>
      </c>
      <c r="B218" s="2" t="s">
        <v>2047</v>
      </c>
      <c r="C218" s="2" t="s">
        <v>27</v>
      </c>
      <c r="D218" s="2" t="s">
        <v>2048</v>
      </c>
      <c r="E218" s="2" t="s">
        <v>47</v>
      </c>
      <c r="F218" s="2" t="s">
        <v>30</v>
      </c>
      <c r="G218" s="2" t="s">
        <v>836</v>
      </c>
      <c r="H218" s="2" t="s">
        <v>2049</v>
      </c>
      <c r="I218" s="2" t="s">
        <v>2050</v>
      </c>
      <c r="J218" s="2" t="s">
        <v>2051</v>
      </c>
      <c r="K218" s="2" t="s">
        <v>2052</v>
      </c>
      <c r="L218" s="2" t="s">
        <v>733</v>
      </c>
      <c r="M218" s="2"/>
      <c r="N218" s="2"/>
      <c r="O218" s="2" t="s">
        <v>37</v>
      </c>
      <c r="P218" s="2" t="s">
        <v>38</v>
      </c>
      <c r="Q218" s="2"/>
      <c r="R218" s="3" t="n">
        <v>0.94</v>
      </c>
      <c r="S218" s="3" t="n">
        <v>1.2</v>
      </c>
      <c r="T218" s="3" t="n">
        <v>2</v>
      </c>
      <c r="U218" s="2" t="s">
        <v>2053</v>
      </c>
      <c r="V218" s="2" t="s">
        <v>40</v>
      </c>
      <c r="W218" s="2" t="s">
        <v>2035</v>
      </c>
      <c r="X218" s="4" t="s">
        <v>42</v>
      </c>
      <c r="Y218" s="2" t="n">
        <v>16402788</v>
      </c>
    </row>
    <row r="219" customFormat="false" ht="15" hidden="false" customHeight="false" outlineLevel="0" collapsed="false">
      <c r="A219" s="2" t="s">
        <v>2054</v>
      </c>
      <c r="B219" s="2" t="s">
        <v>2055</v>
      </c>
      <c r="C219" s="2" t="s">
        <v>2056</v>
      </c>
      <c r="D219" s="2" t="s">
        <v>2057</v>
      </c>
      <c r="E219" s="2"/>
      <c r="F219" s="2" t="s">
        <v>1460</v>
      </c>
      <c r="G219" s="2" t="s">
        <v>59</v>
      </c>
      <c r="H219" s="2"/>
      <c r="I219" s="2" t="s">
        <v>2058</v>
      </c>
      <c r="J219" s="2"/>
      <c r="K219" s="2" t="s">
        <v>2059</v>
      </c>
      <c r="L219" s="2" t="s">
        <v>1558</v>
      </c>
      <c r="M219" s="2"/>
      <c r="N219" s="2"/>
      <c r="O219" s="2" t="s">
        <v>1466</v>
      </c>
      <c r="P219" s="2" t="s">
        <v>1467</v>
      </c>
      <c r="Q219" s="2"/>
      <c r="R219" s="3" t="n">
        <v>0.82</v>
      </c>
      <c r="S219" s="3" t="n">
        <v>1</v>
      </c>
      <c r="T219" s="3" t="n">
        <v>1.7</v>
      </c>
      <c r="U219" s="2"/>
      <c r="V219" s="2" t="s">
        <v>40</v>
      </c>
      <c r="W219" s="2" t="s">
        <v>2060</v>
      </c>
      <c r="X219" s="4" t="s">
        <v>42</v>
      </c>
      <c r="Y219" s="2" t="n">
        <v>16371235</v>
      </c>
    </row>
    <row r="220" customFormat="false" ht="15" hidden="false" customHeight="false" outlineLevel="0" collapsed="false">
      <c r="A220" s="2" t="s">
        <v>2061</v>
      </c>
      <c r="B220" s="2" t="s">
        <v>2062</v>
      </c>
      <c r="C220" s="2" t="s">
        <v>1212</v>
      </c>
      <c r="D220" s="2" t="s">
        <v>2063</v>
      </c>
      <c r="E220" s="2" t="s">
        <v>90</v>
      </c>
      <c r="F220" s="2" t="s">
        <v>1460</v>
      </c>
      <c r="G220" s="2" t="s">
        <v>2064</v>
      </c>
      <c r="H220" s="2" t="s">
        <v>2065</v>
      </c>
      <c r="I220" s="2" t="s">
        <v>2066</v>
      </c>
      <c r="J220" s="2" t="s">
        <v>2067</v>
      </c>
      <c r="K220" s="2" t="s">
        <v>2068</v>
      </c>
      <c r="L220" s="2" t="s">
        <v>2069</v>
      </c>
      <c r="M220" s="2"/>
      <c r="N220" s="2"/>
      <c r="O220" s="2" t="s">
        <v>1466</v>
      </c>
      <c r="P220" s="2" t="s">
        <v>1467</v>
      </c>
      <c r="Q220" s="2"/>
      <c r="R220" s="3" t="n">
        <v>0.83</v>
      </c>
      <c r="S220" s="3" t="n">
        <v>1</v>
      </c>
      <c r="T220" s="3" t="n">
        <v>1.7</v>
      </c>
      <c r="U220" s="2"/>
      <c r="V220" s="2" t="s">
        <v>40</v>
      </c>
      <c r="W220" s="2" t="s">
        <v>2060</v>
      </c>
      <c r="X220" s="4" t="s">
        <v>42</v>
      </c>
      <c r="Y220" s="2" t="n">
        <v>16371233</v>
      </c>
    </row>
    <row r="221" customFormat="false" ht="15" hidden="false" customHeight="false" outlineLevel="0" collapsed="false">
      <c r="A221" s="2" t="s">
        <v>2070</v>
      </c>
      <c r="B221" s="2" t="s">
        <v>1503</v>
      </c>
      <c r="C221" s="2" t="s">
        <v>2071</v>
      </c>
      <c r="D221" s="2" t="s">
        <v>2072</v>
      </c>
      <c r="E221" s="2" t="s">
        <v>90</v>
      </c>
      <c r="F221" s="2" t="s">
        <v>1460</v>
      </c>
      <c r="G221" s="2" t="s">
        <v>185</v>
      </c>
      <c r="H221" s="2" t="s">
        <v>2073</v>
      </c>
      <c r="I221" s="2" t="s">
        <v>2074</v>
      </c>
      <c r="J221" s="2" t="s">
        <v>2075</v>
      </c>
      <c r="K221" s="2" t="s">
        <v>2076</v>
      </c>
      <c r="L221" s="2" t="s">
        <v>2077</v>
      </c>
      <c r="M221" s="2"/>
      <c r="N221" s="2"/>
      <c r="O221" s="2" t="s">
        <v>1466</v>
      </c>
      <c r="P221" s="2" t="s">
        <v>1467</v>
      </c>
      <c r="Q221" s="2"/>
      <c r="R221" s="3" t="n">
        <v>0.83</v>
      </c>
      <c r="S221" s="3" t="n">
        <v>1</v>
      </c>
      <c r="T221" s="3" t="n">
        <v>1.7</v>
      </c>
      <c r="U221" s="2"/>
      <c r="V221" s="2" t="s">
        <v>40</v>
      </c>
      <c r="W221" s="2" t="s">
        <v>2060</v>
      </c>
      <c r="X221" s="4" t="s">
        <v>42</v>
      </c>
      <c r="Y221" s="2" t="n">
        <v>16371231</v>
      </c>
    </row>
    <row r="222" customFormat="false" ht="15" hidden="false" customHeight="false" outlineLevel="0" collapsed="false">
      <c r="A222" s="2" t="s">
        <v>568</v>
      </c>
      <c r="B222" s="2" t="s">
        <v>2078</v>
      </c>
      <c r="C222" s="2" t="s">
        <v>2079</v>
      </c>
      <c r="D222" s="2" t="s">
        <v>2080</v>
      </c>
      <c r="E222" s="2" t="s">
        <v>1930</v>
      </c>
      <c r="F222" s="2" t="s">
        <v>1460</v>
      </c>
      <c r="G222" s="2" t="s">
        <v>330</v>
      </c>
      <c r="H222" s="2" t="s">
        <v>2081</v>
      </c>
      <c r="I222" s="2" t="s">
        <v>2082</v>
      </c>
      <c r="J222" s="2" t="s">
        <v>2083</v>
      </c>
      <c r="K222" s="2" t="s">
        <v>2084</v>
      </c>
      <c r="L222" s="2" t="s">
        <v>2085</v>
      </c>
      <c r="M222" s="2"/>
      <c r="N222" s="2"/>
      <c r="O222" s="2" t="s">
        <v>1466</v>
      </c>
      <c r="P222" s="2" t="s">
        <v>1467</v>
      </c>
      <c r="Q222" s="2"/>
      <c r="R222" s="3" t="n">
        <v>0.84</v>
      </c>
      <c r="S222" s="3" t="n">
        <v>1</v>
      </c>
      <c r="T222" s="3" t="n">
        <v>1.8</v>
      </c>
      <c r="U222" s="2"/>
      <c r="V222" s="2" t="s">
        <v>40</v>
      </c>
      <c r="W222" s="2" t="s">
        <v>2060</v>
      </c>
      <c r="X222" s="4" t="s">
        <v>42</v>
      </c>
      <c r="Y222" s="2" t="n">
        <v>16371230</v>
      </c>
    </row>
    <row r="223" customFormat="false" ht="15" hidden="false" customHeight="false" outlineLevel="0" collapsed="false">
      <c r="A223" s="2" t="s">
        <v>2086</v>
      </c>
      <c r="B223" s="2" t="s">
        <v>2087</v>
      </c>
      <c r="C223" s="2" t="s">
        <v>2088</v>
      </c>
      <c r="D223" s="2" t="s">
        <v>2089</v>
      </c>
      <c r="E223" s="2"/>
      <c r="F223" s="2" t="s">
        <v>2039</v>
      </c>
      <c r="G223" s="2" t="s">
        <v>287</v>
      </c>
      <c r="H223" s="2"/>
      <c r="I223" s="2" t="s">
        <v>2090</v>
      </c>
      <c r="J223" s="2"/>
      <c r="K223" s="2" t="s">
        <v>2091</v>
      </c>
      <c r="L223" s="2" t="s">
        <v>2092</v>
      </c>
      <c r="M223" s="2"/>
      <c r="N223" s="2"/>
      <c r="O223" s="2" t="s">
        <v>1466</v>
      </c>
      <c r="P223" s="2" t="s">
        <v>1467</v>
      </c>
      <c r="Q223" s="2"/>
      <c r="R223" s="3" t="n">
        <v>0.84</v>
      </c>
      <c r="S223" s="3" t="n">
        <v>1</v>
      </c>
      <c r="T223" s="3" t="n">
        <v>1.8</v>
      </c>
      <c r="U223" s="2"/>
      <c r="V223" s="2" t="s">
        <v>40</v>
      </c>
      <c r="W223" s="2" t="s">
        <v>2060</v>
      </c>
      <c r="X223" s="4" t="s">
        <v>42</v>
      </c>
      <c r="Y223" s="2" t="n">
        <v>16371229</v>
      </c>
    </row>
    <row r="224" customFormat="false" ht="15" hidden="false" customHeight="false" outlineLevel="0" collapsed="false">
      <c r="A224" s="2" t="s">
        <v>2093</v>
      </c>
      <c r="B224" s="2" t="s">
        <v>2094</v>
      </c>
      <c r="C224" s="2" t="s">
        <v>2095</v>
      </c>
      <c r="D224" s="2" t="s">
        <v>2096</v>
      </c>
      <c r="E224" s="2"/>
      <c r="F224" s="2" t="s">
        <v>2039</v>
      </c>
      <c r="G224" s="2" t="s">
        <v>245</v>
      </c>
      <c r="H224" s="2"/>
      <c r="I224" s="2" t="s">
        <v>2097</v>
      </c>
      <c r="J224" s="2"/>
      <c r="K224" s="2" t="s">
        <v>2098</v>
      </c>
      <c r="L224" s="2" t="s">
        <v>2099</v>
      </c>
      <c r="M224" s="2"/>
      <c r="N224" s="2"/>
      <c r="O224" s="2" t="s">
        <v>1466</v>
      </c>
      <c r="P224" s="2" t="s">
        <v>1467</v>
      </c>
      <c r="Q224" s="2"/>
      <c r="R224" s="3" t="n">
        <v>0.84</v>
      </c>
      <c r="S224" s="3" t="n">
        <v>1</v>
      </c>
      <c r="T224" s="3" t="n">
        <v>1.8</v>
      </c>
      <c r="U224" s="2"/>
      <c r="V224" s="2" t="s">
        <v>40</v>
      </c>
      <c r="W224" s="2" t="s">
        <v>2060</v>
      </c>
      <c r="X224" s="4" t="s">
        <v>42</v>
      </c>
      <c r="Y224" s="2" t="n">
        <v>16371227</v>
      </c>
    </row>
    <row r="225" customFormat="false" ht="15" hidden="false" customHeight="false" outlineLevel="0" collapsed="false">
      <c r="A225" s="2" t="s">
        <v>2100</v>
      </c>
      <c r="B225" s="2" t="s">
        <v>2101</v>
      </c>
      <c r="C225" s="2" t="s">
        <v>2102</v>
      </c>
      <c r="D225" s="2" t="s">
        <v>2103</v>
      </c>
      <c r="E225" s="2" t="s">
        <v>2104</v>
      </c>
      <c r="F225" s="2" t="s">
        <v>1460</v>
      </c>
      <c r="G225" s="2" t="s">
        <v>2105</v>
      </c>
      <c r="H225" s="2" t="s">
        <v>2106</v>
      </c>
      <c r="I225" s="2" t="s">
        <v>2107</v>
      </c>
      <c r="J225" s="2" t="s">
        <v>2108</v>
      </c>
      <c r="K225" s="2" t="s">
        <v>2109</v>
      </c>
      <c r="L225" s="2" t="s">
        <v>2110</v>
      </c>
      <c r="M225" s="2"/>
      <c r="N225" s="2"/>
      <c r="O225" s="2" t="s">
        <v>1466</v>
      </c>
      <c r="P225" s="2" t="s">
        <v>1467</v>
      </c>
      <c r="Q225" s="2"/>
      <c r="R225" s="3" t="n">
        <v>0.84</v>
      </c>
      <c r="S225" s="3" t="n">
        <v>1</v>
      </c>
      <c r="T225" s="3" t="n">
        <v>1.8</v>
      </c>
      <c r="U225" s="2"/>
      <c r="V225" s="2" t="s">
        <v>40</v>
      </c>
      <c r="W225" s="2" t="s">
        <v>2060</v>
      </c>
      <c r="X225" s="4" t="s">
        <v>42</v>
      </c>
      <c r="Y225" s="2" t="n">
        <v>16371226</v>
      </c>
    </row>
    <row r="226" customFormat="false" ht="15" hidden="false" customHeight="false" outlineLevel="0" collapsed="false">
      <c r="A226" s="2" t="s">
        <v>2111</v>
      </c>
      <c r="B226" s="2" t="s">
        <v>2112</v>
      </c>
      <c r="C226" s="2" t="s">
        <v>1212</v>
      </c>
      <c r="D226" s="2" t="s">
        <v>2113</v>
      </c>
      <c r="E226" s="2" t="s">
        <v>90</v>
      </c>
      <c r="F226" s="2" t="s">
        <v>1460</v>
      </c>
      <c r="G226" s="2" t="s">
        <v>389</v>
      </c>
      <c r="H226" s="2" t="s">
        <v>2114</v>
      </c>
      <c r="I226" s="2" t="s">
        <v>2115</v>
      </c>
      <c r="J226" s="2" t="s">
        <v>2116</v>
      </c>
      <c r="K226" s="2" t="s">
        <v>2117</v>
      </c>
      <c r="L226" s="2" t="s">
        <v>2118</v>
      </c>
      <c r="M226" s="2"/>
      <c r="N226" s="2"/>
      <c r="O226" s="2" t="s">
        <v>1466</v>
      </c>
      <c r="P226" s="2" t="s">
        <v>1467</v>
      </c>
      <c r="Q226" s="2"/>
      <c r="R226" s="3" t="n">
        <v>0.86</v>
      </c>
      <c r="S226" s="3" t="n">
        <v>1</v>
      </c>
      <c r="T226" s="3" t="n">
        <v>1.8</v>
      </c>
      <c r="U226" s="2"/>
      <c r="V226" s="2" t="s">
        <v>40</v>
      </c>
      <c r="W226" s="2" t="s">
        <v>2060</v>
      </c>
      <c r="X226" s="4" t="s">
        <v>42</v>
      </c>
      <c r="Y226" s="2" t="n">
        <v>16371223</v>
      </c>
    </row>
    <row r="227" customFormat="false" ht="15" hidden="false" customHeight="false" outlineLevel="0" collapsed="false">
      <c r="A227" s="2" t="s">
        <v>2119</v>
      </c>
      <c r="B227" s="2" t="s">
        <v>2120</v>
      </c>
      <c r="C227" s="2" t="s">
        <v>1212</v>
      </c>
      <c r="D227" s="2" t="s">
        <v>2121</v>
      </c>
      <c r="E227" s="2" t="s">
        <v>255</v>
      </c>
      <c r="F227" s="2" t="s">
        <v>1460</v>
      </c>
      <c r="G227" s="2" t="s">
        <v>2122</v>
      </c>
      <c r="H227" s="2" t="s">
        <v>2123</v>
      </c>
      <c r="I227" s="2" t="s">
        <v>2124</v>
      </c>
      <c r="J227" s="2" t="s">
        <v>2125</v>
      </c>
      <c r="K227" s="2" t="s">
        <v>1212</v>
      </c>
      <c r="L227" s="2" t="s">
        <v>1476</v>
      </c>
      <c r="M227" s="2"/>
      <c r="N227" s="2"/>
      <c r="O227" s="2" t="s">
        <v>1466</v>
      </c>
      <c r="P227" s="2" t="s">
        <v>1467</v>
      </c>
      <c r="Q227" s="2"/>
      <c r="R227" s="3" t="n">
        <v>0.88</v>
      </c>
      <c r="S227" s="3" t="n">
        <v>1</v>
      </c>
      <c r="T227" s="3" t="n">
        <v>1.8</v>
      </c>
      <c r="U227" s="2"/>
      <c r="V227" s="2" t="s">
        <v>40</v>
      </c>
      <c r="W227" s="2" t="s">
        <v>2060</v>
      </c>
      <c r="X227" s="4" t="s">
        <v>42</v>
      </c>
      <c r="Y227" s="2" t="n">
        <v>16371221</v>
      </c>
    </row>
    <row r="228" customFormat="false" ht="15" hidden="false" customHeight="false" outlineLevel="0" collapsed="false">
      <c r="A228" s="2" t="s">
        <v>2126</v>
      </c>
      <c r="B228" s="2" t="s">
        <v>2127</v>
      </c>
      <c r="C228" s="2" t="s">
        <v>1212</v>
      </c>
      <c r="D228" s="2" t="s">
        <v>2128</v>
      </c>
      <c r="E228" s="2" t="s">
        <v>90</v>
      </c>
      <c r="F228" s="2" t="s">
        <v>1460</v>
      </c>
      <c r="G228" s="2" t="s">
        <v>2129</v>
      </c>
      <c r="H228" s="2" t="s">
        <v>2130</v>
      </c>
      <c r="I228" s="2" t="s">
        <v>2131</v>
      </c>
      <c r="J228" s="2" t="s">
        <v>2132</v>
      </c>
      <c r="K228" s="2" t="s">
        <v>1212</v>
      </c>
      <c r="L228" s="2" t="s">
        <v>2133</v>
      </c>
      <c r="M228" s="2"/>
      <c r="N228" s="2"/>
      <c r="O228" s="2" t="s">
        <v>1466</v>
      </c>
      <c r="P228" s="2" t="s">
        <v>1467</v>
      </c>
      <c r="Q228" s="2"/>
      <c r="R228" s="3" t="n">
        <v>0.88</v>
      </c>
      <c r="S228" s="3" t="n">
        <v>1</v>
      </c>
      <c r="T228" s="3" t="n">
        <v>1.8</v>
      </c>
      <c r="U228" s="2"/>
      <c r="V228" s="2" t="s">
        <v>40</v>
      </c>
      <c r="W228" s="2" t="s">
        <v>2060</v>
      </c>
      <c r="X228" s="4" t="s">
        <v>42</v>
      </c>
      <c r="Y228" s="2" t="n">
        <v>16371220</v>
      </c>
    </row>
    <row r="229" customFormat="false" ht="15" hidden="false" customHeight="false" outlineLevel="0" collapsed="false">
      <c r="A229" s="2" t="s">
        <v>2134</v>
      </c>
      <c r="B229" s="2" t="s">
        <v>2135</v>
      </c>
      <c r="C229" s="2" t="s">
        <v>1212</v>
      </c>
      <c r="D229" s="2" t="s">
        <v>2136</v>
      </c>
      <c r="E229" s="2" t="s">
        <v>244</v>
      </c>
      <c r="F229" s="2" t="s">
        <v>1460</v>
      </c>
      <c r="G229" s="2" t="s">
        <v>756</v>
      </c>
      <c r="H229" s="2" t="s">
        <v>2137</v>
      </c>
      <c r="I229" s="2" t="s">
        <v>2138</v>
      </c>
      <c r="J229" s="2" t="s">
        <v>2139</v>
      </c>
      <c r="K229" s="2" t="s">
        <v>2140</v>
      </c>
      <c r="L229" s="2" t="s">
        <v>2141</v>
      </c>
      <c r="M229" s="2"/>
      <c r="N229" s="2"/>
      <c r="O229" s="2" t="s">
        <v>1466</v>
      </c>
      <c r="P229" s="2" t="s">
        <v>1467</v>
      </c>
      <c r="Q229" s="2"/>
      <c r="R229" s="3" t="n">
        <v>0.91</v>
      </c>
      <c r="S229" s="3" t="n">
        <v>1</v>
      </c>
      <c r="T229" s="3" t="n">
        <v>1.9</v>
      </c>
      <c r="U229" s="2"/>
      <c r="V229" s="2" t="s">
        <v>40</v>
      </c>
      <c r="W229" s="2" t="s">
        <v>2060</v>
      </c>
      <c r="X229" s="4" t="s">
        <v>42</v>
      </c>
      <c r="Y229" s="2" t="n">
        <v>16371218</v>
      </c>
    </row>
    <row r="230" customFormat="false" ht="15" hidden="false" customHeight="false" outlineLevel="0" collapsed="false">
      <c r="A230" s="2" t="s">
        <v>2142</v>
      </c>
      <c r="B230" s="2" t="s">
        <v>2143</v>
      </c>
      <c r="C230" s="2" t="s">
        <v>2144</v>
      </c>
      <c r="D230" s="2" t="s">
        <v>2145</v>
      </c>
      <c r="E230" s="2" t="s">
        <v>244</v>
      </c>
      <c r="F230" s="2" t="s">
        <v>1460</v>
      </c>
      <c r="G230" s="2" t="s">
        <v>666</v>
      </c>
      <c r="H230" s="2" t="s">
        <v>2146</v>
      </c>
      <c r="I230" s="2" t="s">
        <v>2147</v>
      </c>
      <c r="J230" s="2" t="s">
        <v>2148</v>
      </c>
      <c r="K230" s="2" t="s">
        <v>2149</v>
      </c>
      <c r="L230" s="2" t="s">
        <v>412</v>
      </c>
      <c r="M230" s="2"/>
      <c r="N230" s="2"/>
      <c r="O230" s="2" t="s">
        <v>1466</v>
      </c>
      <c r="P230" s="2" t="s">
        <v>1467</v>
      </c>
      <c r="Q230" s="2"/>
      <c r="R230" s="3" t="n">
        <v>0.93</v>
      </c>
      <c r="S230" s="3" t="n">
        <v>1</v>
      </c>
      <c r="T230" s="3" t="n">
        <v>1.9</v>
      </c>
      <c r="U230" s="2"/>
      <c r="V230" s="2" t="s">
        <v>40</v>
      </c>
      <c r="W230" s="2" t="s">
        <v>2060</v>
      </c>
      <c r="X230" s="4" t="s">
        <v>42</v>
      </c>
      <c r="Y230" s="2" t="n">
        <v>16371217</v>
      </c>
    </row>
    <row r="231" customFormat="false" ht="15" hidden="false" customHeight="false" outlineLevel="0" collapsed="false">
      <c r="A231" s="2" t="s">
        <v>2150</v>
      </c>
      <c r="B231" s="2" t="s">
        <v>771</v>
      </c>
      <c r="C231" s="2" t="s">
        <v>2151</v>
      </c>
      <c r="D231" s="2" t="s">
        <v>2152</v>
      </c>
      <c r="E231" s="2" t="s">
        <v>103</v>
      </c>
      <c r="F231" s="2" t="s">
        <v>165</v>
      </c>
      <c r="G231" s="2" t="s">
        <v>2153</v>
      </c>
      <c r="H231" s="2" t="s">
        <v>2154</v>
      </c>
      <c r="I231" s="2" t="s">
        <v>2155</v>
      </c>
      <c r="J231" s="2" t="s">
        <v>2156</v>
      </c>
      <c r="K231" s="2" t="s">
        <v>2157</v>
      </c>
      <c r="L231" s="2" t="s">
        <v>2158</v>
      </c>
      <c r="M231" s="2"/>
      <c r="N231" s="2"/>
      <c r="O231" s="2" t="s">
        <v>1440</v>
      </c>
      <c r="P231" s="2" t="s">
        <v>2159</v>
      </c>
      <c r="Q231" s="2" t="s">
        <v>2160</v>
      </c>
      <c r="R231" s="3" t="n">
        <v>0.88</v>
      </c>
      <c r="S231" s="3" t="n">
        <v>1.5</v>
      </c>
      <c r="T231" s="3" t="n">
        <v>2.1</v>
      </c>
      <c r="U231" s="2" t="s">
        <v>2161</v>
      </c>
      <c r="V231" s="2" t="s">
        <v>40</v>
      </c>
      <c r="W231" s="2" t="s">
        <v>2162</v>
      </c>
      <c r="X231" s="4" t="s">
        <v>42</v>
      </c>
      <c r="Y231" s="2" t="n">
        <v>16317925</v>
      </c>
    </row>
    <row r="232" customFormat="false" ht="15" hidden="false" customHeight="false" outlineLevel="0" collapsed="false">
      <c r="A232" s="2" t="s">
        <v>636</v>
      </c>
      <c r="B232" s="2" t="s">
        <v>2163</v>
      </c>
      <c r="C232" s="2" t="s">
        <v>45</v>
      </c>
      <c r="D232" s="2" t="s">
        <v>2164</v>
      </c>
      <c r="E232" s="2" t="s">
        <v>255</v>
      </c>
      <c r="F232" s="2" t="s">
        <v>165</v>
      </c>
      <c r="G232" s="2" t="s">
        <v>2165</v>
      </c>
      <c r="H232" s="2" t="s">
        <v>2166</v>
      </c>
      <c r="I232" s="2" t="s">
        <v>2167</v>
      </c>
      <c r="J232" s="2" t="s">
        <v>2168</v>
      </c>
      <c r="K232" s="2" t="s">
        <v>2169</v>
      </c>
      <c r="L232" s="2" t="s">
        <v>2170</v>
      </c>
      <c r="M232" s="2"/>
      <c r="N232" s="2"/>
      <c r="O232" s="2" t="s">
        <v>1440</v>
      </c>
      <c r="P232" s="2" t="s">
        <v>2159</v>
      </c>
      <c r="Q232" s="2" t="s">
        <v>2160</v>
      </c>
      <c r="R232" s="3" t="n">
        <v>0.92</v>
      </c>
      <c r="S232" s="3" t="n">
        <v>1.5</v>
      </c>
      <c r="T232" s="3" t="n">
        <v>2.1</v>
      </c>
      <c r="U232" s="2" t="s">
        <v>2171</v>
      </c>
      <c r="V232" s="2" t="s">
        <v>40</v>
      </c>
      <c r="W232" s="2" t="s">
        <v>2162</v>
      </c>
      <c r="X232" s="4" t="s">
        <v>42</v>
      </c>
      <c r="Y232" s="2" t="n">
        <v>16317922</v>
      </c>
    </row>
    <row r="233" customFormat="false" ht="15" hidden="false" customHeight="false" outlineLevel="0" collapsed="false">
      <c r="A233" s="2" t="s">
        <v>2172</v>
      </c>
      <c r="B233" s="2" t="s">
        <v>2173</v>
      </c>
      <c r="C233" s="2" t="s">
        <v>175</v>
      </c>
      <c r="D233" s="2" t="s">
        <v>2174</v>
      </c>
      <c r="E233" s="2" t="s">
        <v>103</v>
      </c>
      <c r="F233" s="2" t="s">
        <v>165</v>
      </c>
      <c r="G233" s="2" t="s">
        <v>2175</v>
      </c>
      <c r="H233" s="2" t="s">
        <v>2176</v>
      </c>
      <c r="I233" s="2" t="s">
        <v>2177</v>
      </c>
      <c r="J233" s="2" t="s">
        <v>2178</v>
      </c>
      <c r="K233" s="2" t="s">
        <v>2179</v>
      </c>
      <c r="L233" s="2" t="s">
        <v>2180</v>
      </c>
      <c r="M233" s="2"/>
      <c r="N233" s="2"/>
      <c r="O233" s="2" t="s">
        <v>1440</v>
      </c>
      <c r="P233" s="2" t="s">
        <v>1441</v>
      </c>
      <c r="Q233" s="2" t="s">
        <v>1442</v>
      </c>
      <c r="R233" s="3" t="n">
        <v>0.96</v>
      </c>
      <c r="S233" s="3" t="n">
        <v>1.1</v>
      </c>
      <c r="T233" s="3" t="n">
        <v>2</v>
      </c>
      <c r="U233" s="2" t="s">
        <v>2181</v>
      </c>
      <c r="V233" s="2" t="s">
        <v>40</v>
      </c>
      <c r="W233" s="2" t="s">
        <v>2182</v>
      </c>
      <c r="X233" s="4" t="s">
        <v>42</v>
      </c>
      <c r="Y233" s="2" t="n">
        <v>16266310</v>
      </c>
    </row>
    <row r="234" customFormat="false" ht="15" hidden="false" customHeight="false" outlineLevel="0" collapsed="false">
      <c r="A234" s="2" t="s">
        <v>717</v>
      </c>
      <c r="B234" s="2" t="s">
        <v>2183</v>
      </c>
      <c r="C234" s="2" t="s">
        <v>2184</v>
      </c>
      <c r="D234" s="2" t="s">
        <v>2185</v>
      </c>
      <c r="E234" s="2" t="s">
        <v>103</v>
      </c>
      <c r="F234" s="2" t="s">
        <v>30</v>
      </c>
      <c r="G234" s="2" t="s">
        <v>2186</v>
      </c>
      <c r="H234" s="2" t="s">
        <v>2187</v>
      </c>
      <c r="I234" s="2" t="s">
        <v>2188</v>
      </c>
      <c r="J234" s="2" t="s">
        <v>2189</v>
      </c>
      <c r="K234" s="2" t="s">
        <v>2190</v>
      </c>
      <c r="L234" s="2" t="s">
        <v>2023</v>
      </c>
      <c r="M234" s="2"/>
      <c r="N234" s="2"/>
      <c r="O234" s="2" t="s">
        <v>1440</v>
      </c>
      <c r="P234" s="2" t="s">
        <v>2191</v>
      </c>
      <c r="Q234" s="2" t="s">
        <v>1442</v>
      </c>
      <c r="R234" s="3" t="n">
        <v>1</v>
      </c>
      <c r="S234" s="3" t="n">
        <v>1.5</v>
      </c>
      <c r="T234" s="3" t="n">
        <v>2.3</v>
      </c>
      <c r="U234" s="2" t="s">
        <v>2192</v>
      </c>
      <c r="V234" s="2" t="s">
        <v>40</v>
      </c>
      <c r="W234" s="2" t="s">
        <v>2182</v>
      </c>
      <c r="X234" s="4" t="s">
        <v>42</v>
      </c>
      <c r="Y234" s="2" t="n">
        <v>16266300</v>
      </c>
    </row>
    <row r="235" customFormat="false" ht="15" hidden="false" customHeight="false" outlineLevel="0" collapsed="false">
      <c r="A235" s="2" t="s">
        <v>2193</v>
      </c>
      <c r="B235" s="2" t="s">
        <v>2194</v>
      </c>
      <c r="C235" s="2" t="s">
        <v>2195</v>
      </c>
      <c r="D235" s="2" t="s">
        <v>2196</v>
      </c>
      <c r="E235" s="2" t="s">
        <v>103</v>
      </c>
      <c r="F235" s="2" t="s">
        <v>2039</v>
      </c>
      <c r="G235" s="2" t="s">
        <v>135</v>
      </c>
      <c r="H235" s="2" t="s">
        <v>2197</v>
      </c>
      <c r="I235" s="2" t="s">
        <v>2198</v>
      </c>
      <c r="J235" s="2" t="s">
        <v>2199</v>
      </c>
      <c r="K235" s="2" t="s">
        <v>2200</v>
      </c>
      <c r="L235" s="2" t="s">
        <v>2201</v>
      </c>
      <c r="M235" s="2"/>
      <c r="N235" s="2"/>
      <c r="O235" s="2" t="s">
        <v>1440</v>
      </c>
      <c r="P235" s="2" t="s">
        <v>2191</v>
      </c>
      <c r="Q235" s="2" t="s">
        <v>1442</v>
      </c>
      <c r="R235" s="3" t="n">
        <v>0.89</v>
      </c>
      <c r="S235" s="3" t="n">
        <v>1.5</v>
      </c>
      <c r="T235" s="3" t="n">
        <v>2.1</v>
      </c>
      <c r="U235" s="2" t="s">
        <v>2202</v>
      </c>
      <c r="V235" s="2" t="s">
        <v>40</v>
      </c>
      <c r="W235" s="2" t="s">
        <v>2182</v>
      </c>
      <c r="X235" s="4" t="s">
        <v>42</v>
      </c>
      <c r="Y235" s="2" t="n">
        <v>16266299</v>
      </c>
    </row>
    <row r="236" customFormat="false" ht="15" hidden="false" customHeight="false" outlineLevel="0" collapsed="false">
      <c r="A236" s="2" t="s">
        <v>973</v>
      </c>
      <c r="B236" s="2" t="s">
        <v>2203</v>
      </c>
      <c r="C236" s="2" t="s">
        <v>1895</v>
      </c>
      <c r="D236" s="2" t="s">
        <v>2204</v>
      </c>
      <c r="E236" s="2" t="s">
        <v>103</v>
      </c>
      <c r="F236" s="2" t="s">
        <v>1983</v>
      </c>
      <c r="G236" s="2" t="s">
        <v>1663</v>
      </c>
      <c r="H236" s="2" t="s">
        <v>2205</v>
      </c>
      <c r="I236" s="2" t="s">
        <v>2206</v>
      </c>
      <c r="J236" s="2" t="s">
        <v>2207</v>
      </c>
      <c r="K236" s="2" t="s">
        <v>2208</v>
      </c>
      <c r="L236" s="2" t="s">
        <v>2209</v>
      </c>
      <c r="M236" s="2"/>
      <c r="N236" s="2"/>
      <c r="O236" s="2" t="s">
        <v>1440</v>
      </c>
      <c r="P236" s="2" t="s">
        <v>2191</v>
      </c>
      <c r="Q236" s="2" t="s">
        <v>1442</v>
      </c>
      <c r="R236" s="3" t="n">
        <v>0.83</v>
      </c>
      <c r="S236" s="3" t="n">
        <v>1.5</v>
      </c>
      <c r="T236" s="3" t="n">
        <v>2</v>
      </c>
      <c r="U236" s="2" t="s">
        <v>2210</v>
      </c>
      <c r="V236" s="2" t="s">
        <v>40</v>
      </c>
      <c r="W236" s="2" t="s">
        <v>2182</v>
      </c>
      <c r="X236" s="4" t="s">
        <v>42</v>
      </c>
      <c r="Y236" s="2" t="n">
        <v>16266298</v>
      </c>
    </row>
    <row r="237" customFormat="false" ht="15" hidden="false" customHeight="false" outlineLevel="0" collapsed="false">
      <c r="A237" s="2" t="s">
        <v>2211</v>
      </c>
      <c r="B237" s="2" t="s">
        <v>2212</v>
      </c>
      <c r="C237" s="2" t="s">
        <v>2213</v>
      </c>
      <c r="D237" s="2" t="s">
        <v>2214</v>
      </c>
      <c r="E237" s="2" t="s">
        <v>255</v>
      </c>
      <c r="F237" s="2" t="s">
        <v>165</v>
      </c>
      <c r="G237" s="2" t="s">
        <v>836</v>
      </c>
      <c r="H237" s="2" t="s">
        <v>2215</v>
      </c>
      <c r="I237" s="2" t="s">
        <v>2216</v>
      </c>
      <c r="J237" s="2" t="s">
        <v>2217</v>
      </c>
      <c r="K237" s="2" t="s">
        <v>2218</v>
      </c>
      <c r="L237" s="2" t="s">
        <v>2219</v>
      </c>
      <c r="M237" s="2"/>
      <c r="N237" s="2"/>
      <c r="O237" s="2" t="s">
        <v>1440</v>
      </c>
      <c r="P237" s="2" t="s">
        <v>2191</v>
      </c>
      <c r="Q237" s="2" t="s">
        <v>1442</v>
      </c>
      <c r="R237" s="3" t="n">
        <v>0.93</v>
      </c>
      <c r="S237" s="3" t="n">
        <v>1.5</v>
      </c>
      <c r="T237" s="3" t="n">
        <v>2.1</v>
      </c>
      <c r="U237" s="2" t="s">
        <v>2220</v>
      </c>
      <c r="V237" s="2" t="s">
        <v>40</v>
      </c>
      <c r="W237" s="2" t="s">
        <v>2182</v>
      </c>
      <c r="X237" s="4" t="s">
        <v>42</v>
      </c>
      <c r="Y237" s="2" t="n">
        <v>16266297</v>
      </c>
    </row>
    <row r="238" customFormat="false" ht="15" hidden="false" customHeight="false" outlineLevel="0" collapsed="false">
      <c r="A238" s="2" t="s">
        <v>2221</v>
      </c>
      <c r="B238" s="2" t="s">
        <v>2222</v>
      </c>
      <c r="C238" s="2" t="s">
        <v>494</v>
      </c>
      <c r="D238" s="2" t="s">
        <v>2223</v>
      </c>
      <c r="E238" s="2" t="s">
        <v>103</v>
      </c>
      <c r="F238" s="2" t="s">
        <v>165</v>
      </c>
      <c r="G238" s="2" t="s">
        <v>437</v>
      </c>
      <c r="H238" s="2" t="s">
        <v>2224</v>
      </c>
      <c r="I238" s="2" t="s">
        <v>2225</v>
      </c>
      <c r="J238" s="2" t="s">
        <v>2226</v>
      </c>
      <c r="K238" s="2" t="s">
        <v>2227</v>
      </c>
      <c r="L238" s="2" t="s">
        <v>2228</v>
      </c>
      <c r="M238" s="2"/>
      <c r="N238" s="2"/>
      <c r="O238" s="2" t="s">
        <v>1440</v>
      </c>
      <c r="P238" s="2" t="s">
        <v>2229</v>
      </c>
      <c r="Q238" s="2" t="s">
        <v>1442</v>
      </c>
      <c r="R238" s="3" t="n">
        <v>0.91</v>
      </c>
      <c r="S238" s="3" t="n">
        <v>1.5</v>
      </c>
      <c r="T238" s="3" t="n">
        <v>2.1</v>
      </c>
      <c r="U238" s="2" t="s">
        <v>2230</v>
      </c>
      <c r="V238" s="2" t="s">
        <v>40</v>
      </c>
      <c r="W238" s="2" t="s">
        <v>2182</v>
      </c>
      <c r="X238" s="4" t="s">
        <v>42</v>
      </c>
      <c r="Y238" s="2" t="n">
        <v>16266291</v>
      </c>
    </row>
    <row r="239" customFormat="false" ht="15" hidden="false" customHeight="false" outlineLevel="0" collapsed="false">
      <c r="A239" s="2" t="s">
        <v>2231</v>
      </c>
      <c r="B239" s="2" t="s">
        <v>2232</v>
      </c>
      <c r="C239" s="2" t="s">
        <v>2233</v>
      </c>
      <c r="D239" s="2" t="s">
        <v>2234</v>
      </c>
      <c r="E239" s="2" t="s">
        <v>47</v>
      </c>
      <c r="F239" s="2" t="s">
        <v>30</v>
      </c>
      <c r="G239" s="2" t="s">
        <v>2235</v>
      </c>
      <c r="H239" s="2" t="s">
        <v>2236</v>
      </c>
      <c r="I239" s="2" t="s">
        <v>2237</v>
      </c>
      <c r="J239" s="2" t="s">
        <v>2238</v>
      </c>
      <c r="K239" s="2" t="s">
        <v>2239</v>
      </c>
      <c r="L239" s="2" t="s">
        <v>2240</v>
      </c>
      <c r="M239" s="2"/>
      <c r="N239" s="2"/>
      <c r="O239" s="2" t="s">
        <v>1440</v>
      </c>
      <c r="P239" s="2" t="s">
        <v>2241</v>
      </c>
      <c r="Q239" s="2" t="s">
        <v>1454</v>
      </c>
      <c r="R239" s="3" t="n">
        <v>0.83</v>
      </c>
      <c r="S239" s="3" t="n">
        <v>1.1</v>
      </c>
      <c r="T239" s="3" t="n">
        <v>1.8</v>
      </c>
      <c r="U239" s="2" t="s">
        <v>2242</v>
      </c>
      <c r="V239" s="2" t="s">
        <v>40</v>
      </c>
      <c r="W239" s="2" t="s">
        <v>2243</v>
      </c>
      <c r="X239" s="4" t="s">
        <v>42</v>
      </c>
      <c r="Y239" s="2" t="n">
        <v>16212882</v>
      </c>
    </row>
    <row r="240" customFormat="false" ht="15" hidden="false" customHeight="false" outlineLevel="0" collapsed="false">
      <c r="A240" s="2" t="s">
        <v>2244</v>
      </c>
      <c r="B240" s="2" t="s">
        <v>2245</v>
      </c>
      <c r="C240" s="2" t="s">
        <v>2246</v>
      </c>
      <c r="D240" s="2"/>
      <c r="E240" s="2"/>
      <c r="F240" s="2" t="s">
        <v>1460</v>
      </c>
      <c r="G240" s="2" t="s">
        <v>1201</v>
      </c>
      <c r="H240" s="2"/>
      <c r="I240" s="2" t="s">
        <v>2247</v>
      </c>
      <c r="J240" s="2"/>
      <c r="K240" s="2" t="s">
        <v>2248</v>
      </c>
      <c r="L240" s="2" t="s">
        <v>2249</v>
      </c>
      <c r="M240" s="2"/>
      <c r="N240" s="2"/>
      <c r="O240" s="2" t="s">
        <v>1466</v>
      </c>
      <c r="P240" s="2" t="s">
        <v>1467</v>
      </c>
      <c r="Q240" s="2"/>
      <c r="R240" s="3" t="n">
        <v>0.81</v>
      </c>
      <c r="S240" s="3" t="n">
        <v>1</v>
      </c>
      <c r="T240" s="3" t="n">
        <v>1.7</v>
      </c>
      <c r="U240" s="2"/>
      <c r="V240" s="2" t="s">
        <v>40</v>
      </c>
      <c r="W240" s="2" t="s">
        <v>2250</v>
      </c>
      <c r="X240" s="5" t="s">
        <v>2251</v>
      </c>
      <c r="Y240" s="2" t="n">
        <v>16044243</v>
      </c>
    </row>
    <row r="241" customFormat="false" ht="15" hidden="false" customHeight="false" outlineLevel="0" collapsed="false">
      <c r="A241" s="2" t="s">
        <v>2252</v>
      </c>
      <c r="B241" s="2" t="s">
        <v>2253</v>
      </c>
      <c r="C241" s="2" t="s">
        <v>1616</v>
      </c>
      <c r="D241" s="2"/>
      <c r="E241" s="2"/>
      <c r="F241" s="2" t="s">
        <v>1460</v>
      </c>
      <c r="G241" s="2" t="s">
        <v>2254</v>
      </c>
      <c r="H241" s="2"/>
      <c r="I241" s="2" t="s">
        <v>2255</v>
      </c>
      <c r="J241" s="2"/>
      <c r="K241" s="2" t="s">
        <v>2256</v>
      </c>
      <c r="L241" s="2" t="s">
        <v>2257</v>
      </c>
      <c r="M241" s="2"/>
      <c r="N241" s="2"/>
      <c r="O241" s="2" t="s">
        <v>1466</v>
      </c>
      <c r="P241" s="2" t="s">
        <v>1467</v>
      </c>
      <c r="Q241" s="2"/>
      <c r="R241" s="3" t="n">
        <v>0.81</v>
      </c>
      <c r="S241" s="3" t="n">
        <v>1</v>
      </c>
      <c r="T241" s="3" t="n">
        <v>1.7</v>
      </c>
      <c r="U241" s="2"/>
      <c r="V241" s="2" t="s">
        <v>40</v>
      </c>
      <c r="W241" s="2" t="s">
        <v>2250</v>
      </c>
      <c r="X241" s="5" t="s">
        <v>2258</v>
      </c>
      <c r="Y241" s="2" t="n">
        <v>16044242</v>
      </c>
    </row>
    <row r="242" customFormat="false" ht="15" hidden="false" customHeight="false" outlineLevel="0" collapsed="false">
      <c r="A242" s="2" t="s">
        <v>2259</v>
      </c>
      <c r="B242" s="2" t="s">
        <v>726</v>
      </c>
      <c r="C242" s="2" t="s">
        <v>2260</v>
      </c>
      <c r="D242" s="2"/>
      <c r="E242" s="2"/>
      <c r="F242" s="2" t="s">
        <v>1460</v>
      </c>
      <c r="G242" s="2" t="s">
        <v>59</v>
      </c>
      <c r="H242" s="2"/>
      <c r="I242" s="2" t="s">
        <v>2261</v>
      </c>
      <c r="J242" s="2"/>
      <c r="K242" s="2" t="s">
        <v>2262</v>
      </c>
      <c r="L242" s="2" t="s">
        <v>2263</v>
      </c>
      <c r="M242" s="2"/>
      <c r="N242" s="2"/>
      <c r="O242" s="2" t="s">
        <v>1466</v>
      </c>
      <c r="P242" s="2" t="s">
        <v>1467</v>
      </c>
      <c r="Q242" s="2"/>
      <c r="R242" s="3" t="n">
        <v>0.81</v>
      </c>
      <c r="S242" s="3" t="n">
        <v>1</v>
      </c>
      <c r="T242" s="3" t="n">
        <v>1.7</v>
      </c>
      <c r="U242" s="2"/>
      <c r="V242" s="2" t="s">
        <v>40</v>
      </c>
      <c r="W242" s="2" t="s">
        <v>2250</v>
      </c>
      <c r="X242" s="5" t="s">
        <v>2251</v>
      </c>
      <c r="Y242" s="2" t="n">
        <v>16044241</v>
      </c>
    </row>
    <row r="243" customFormat="false" ht="15" hidden="false" customHeight="false" outlineLevel="0" collapsed="false">
      <c r="A243" s="2" t="s">
        <v>2264</v>
      </c>
      <c r="B243" s="2" t="s">
        <v>2265</v>
      </c>
      <c r="C243" s="2" t="s">
        <v>2266</v>
      </c>
      <c r="D243" s="2"/>
      <c r="E243" s="2"/>
      <c r="F243" s="2" t="s">
        <v>1460</v>
      </c>
      <c r="G243" s="2" t="s">
        <v>2267</v>
      </c>
      <c r="H243" s="2"/>
      <c r="I243" s="2" t="s">
        <v>2268</v>
      </c>
      <c r="J243" s="2"/>
      <c r="K243" s="2" t="s">
        <v>2269</v>
      </c>
      <c r="L243" s="2" t="s">
        <v>2110</v>
      </c>
      <c r="M243" s="2"/>
      <c r="N243" s="2"/>
      <c r="O243" s="2" t="s">
        <v>1466</v>
      </c>
      <c r="P243" s="2" t="s">
        <v>1467</v>
      </c>
      <c r="Q243" s="2"/>
      <c r="R243" s="3" t="n">
        <v>0.81</v>
      </c>
      <c r="S243" s="3" t="n">
        <v>1</v>
      </c>
      <c r="T243" s="3" t="n">
        <v>1.7</v>
      </c>
      <c r="U243" s="2"/>
      <c r="V243" s="2" t="s">
        <v>40</v>
      </c>
      <c r="W243" s="2" t="s">
        <v>2250</v>
      </c>
      <c r="X243" s="5" t="s">
        <v>2258</v>
      </c>
      <c r="Y243" s="2" t="n">
        <v>16044240</v>
      </c>
    </row>
    <row r="244" customFormat="false" ht="15" hidden="false" customHeight="false" outlineLevel="0" collapsed="false">
      <c r="A244" s="2" t="s">
        <v>2270</v>
      </c>
      <c r="B244" s="2" t="s">
        <v>2271</v>
      </c>
      <c r="C244" s="2" t="s">
        <v>2272</v>
      </c>
      <c r="D244" s="2"/>
      <c r="E244" s="2"/>
      <c r="F244" s="2" t="s">
        <v>1460</v>
      </c>
      <c r="G244" s="2" t="s">
        <v>1201</v>
      </c>
      <c r="H244" s="2"/>
      <c r="I244" s="2" t="s">
        <v>2273</v>
      </c>
      <c r="J244" s="2"/>
      <c r="K244" s="2" t="s">
        <v>2274</v>
      </c>
      <c r="L244" s="2" t="s">
        <v>2275</v>
      </c>
      <c r="M244" s="2"/>
      <c r="N244" s="2"/>
      <c r="O244" s="2" t="s">
        <v>1466</v>
      </c>
      <c r="P244" s="2" t="s">
        <v>1467</v>
      </c>
      <c r="Q244" s="2"/>
      <c r="R244" s="3" t="n">
        <v>0.81</v>
      </c>
      <c r="S244" s="3" t="n">
        <v>1</v>
      </c>
      <c r="T244" s="3" t="n">
        <v>1.7</v>
      </c>
      <c r="U244" s="2"/>
      <c r="V244" s="2" t="s">
        <v>40</v>
      </c>
      <c r="W244" s="2" t="s">
        <v>2250</v>
      </c>
      <c r="X244" s="5" t="s">
        <v>2251</v>
      </c>
      <c r="Y244" s="2" t="n">
        <v>16044239</v>
      </c>
    </row>
    <row r="245" customFormat="false" ht="15" hidden="false" customHeight="false" outlineLevel="0" collapsed="false">
      <c r="A245" s="2" t="s">
        <v>1144</v>
      </c>
      <c r="B245" s="2" t="s">
        <v>2276</v>
      </c>
      <c r="C245" s="2" t="s">
        <v>2277</v>
      </c>
      <c r="D245" s="2" t="s">
        <v>2278</v>
      </c>
      <c r="E245" s="2"/>
      <c r="F245" s="2" t="s">
        <v>1460</v>
      </c>
      <c r="G245" s="2" t="s">
        <v>2279</v>
      </c>
      <c r="H245" s="2"/>
      <c r="I245" s="2" t="s">
        <v>2280</v>
      </c>
      <c r="J245" s="2"/>
      <c r="K245" s="2" t="s">
        <v>2281</v>
      </c>
      <c r="L245" s="2" t="s">
        <v>1668</v>
      </c>
      <c r="M245" s="2"/>
      <c r="N245" s="2"/>
      <c r="O245" s="2" t="s">
        <v>1466</v>
      </c>
      <c r="P245" s="2" t="s">
        <v>1467</v>
      </c>
      <c r="Q245" s="2"/>
      <c r="R245" s="3" t="n">
        <v>0.81</v>
      </c>
      <c r="S245" s="3" t="n">
        <v>1</v>
      </c>
      <c r="T245" s="3" t="n">
        <v>1.7</v>
      </c>
      <c r="U245" s="2"/>
      <c r="V245" s="2" t="s">
        <v>40</v>
      </c>
      <c r="W245" s="2" t="s">
        <v>2250</v>
      </c>
      <c r="X245" s="5" t="s">
        <v>2258</v>
      </c>
      <c r="Y245" s="2" t="n">
        <v>16044238</v>
      </c>
    </row>
    <row r="246" customFormat="false" ht="15" hidden="false" customHeight="false" outlineLevel="0" collapsed="false">
      <c r="A246" s="2" t="s">
        <v>2282</v>
      </c>
      <c r="B246" s="2" t="s">
        <v>2283</v>
      </c>
      <c r="C246" s="2" t="s">
        <v>2284</v>
      </c>
      <c r="D246" s="2" t="s">
        <v>2285</v>
      </c>
      <c r="E246" s="2"/>
      <c r="F246" s="2" t="s">
        <v>1460</v>
      </c>
      <c r="G246" s="2" t="s">
        <v>2186</v>
      </c>
      <c r="H246" s="2"/>
      <c r="I246" s="2" t="s">
        <v>2286</v>
      </c>
      <c r="J246" s="2"/>
      <c r="K246" s="2" t="s">
        <v>2287</v>
      </c>
      <c r="L246" s="2" t="s">
        <v>2288</v>
      </c>
      <c r="M246" s="2"/>
      <c r="N246" s="2"/>
      <c r="O246" s="2" t="s">
        <v>1466</v>
      </c>
      <c r="P246" s="2" t="s">
        <v>1467</v>
      </c>
      <c r="Q246" s="2"/>
      <c r="R246" s="3" t="n">
        <v>0.81</v>
      </c>
      <c r="S246" s="3" t="n">
        <v>1</v>
      </c>
      <c r="T246" s="3" t="n">
        <v>1.7</v>
      </c>
      <c r="U246" s="2"/>
      <c r="V246" s="2" t="s">
        <v>40</v>
      </c>
      <c r="W246" s="2" t="s">
        <v>2250</v>
      </c>
      <c r="X246" s="5" t="s">
        <v>2251</v>
      </c>
      <c r="Y246" s="2" t="n">
        <v>16044237</v>
      </c>
    </row>
    <row r="247" customFormat="false" ht="15" hidden="false" customHeight="false" outlineLevel="0" collapsed="false">
      <c r="A247" s="2" t="s">
        <v>2289</v>
      </c>
      <c r="B247" s="2" t="s">
        <v>2290</v>
      </c>
      <c r="C247" s="2" t="s">
        <v>2291</v>
      </c>
      <c r="D247" s="2" t="s">
        <v>2292</v>
      </c>
      <c r="E247" s="2"/>
      <c r="F247" s="2" t="s">
        <v>1487</v>
      </c>
      <c r="G247" s="2" t="s">
        <v>2293</v>
      </c>
      <c r="H247" s="2"/>
      <c r="I247" s="2" t="s">
        <v>2294</v>
      </c>
      <c r="J247" s="2"/>
      <c r="K247" s="2" t="s">
        <v>2295</v>
      </c>
      <c r="L247" s="2" t="s">
        <v>2296</v>
      </c>
      <c r="M247" s="2"/>
      <c r="N247" s="2"/>
      <c r="O247" s="2" t="s">
        <v>1466</v>
      </c>
      <c r="P247" s="2" t="s">
        <v>1467</v>
      </c>
      <c r="Q247" s="2"/>
      <c r="R247" s="3" t="n">
        <v>0.81</v>
      </c>
      <c r="S247" s="3" t="n">
        <v>1</v>
      </c>
      <c r="T247" s="3" t="n">
        <v>1.7</v>
      </c>
      <c r="U247" s="2"/>
      <c r="V247" s="2" t="s">
        <v>40</v>
      </c>
      <c r="W247" s="2" t="s">
        <v>2250</v>
      </c>
      <c r="X247" s="5" t="s">
        <v>2258</v>
      </c>
      <c r="Y247" s="2" t="n">
        <v>16044236</v>
      </c>
    </row>
    <row r="248" customFormat="false" ht="15" hidden="false" customHeight="false" outlineLevel="0" collapsed="false">
      <c r="A248" s="2" t="s">
        <v>2297</v>
      </c>
      <c r="B248" s="2" t="s">
        <v>2298</v>
      </c>
      <c r="C248" s="2" t="s">
        <v>2299</v>
      </c>
      <c r="D248" s="2" t="s">
        <v>2300</v>
      </c>
      <c r="E248" s="2"/>
      <c r="F248" s="2" t="s">
        <v>1460</v>
      </c>
      <c r="G248" s="2" t="s">
        <v>59</v>
      </c>
      <c r="H248" s="2"/>
      <c r="I248" s="2" t="s">
        <v>2301</v>
      </c>
      <c r="J248" s="2"/>
      <c r="K248" s="2" t="s">
        <v>2299</v>
      </c>
      <c r="L248" s="2" t="s">
        <v>2302</v>
      </c>
      <c r="M248" s="2"/>
      <c r="N248" s="2"/>
      <c r="O248" s="2" t="s">
        <v>1466</v>
      </c>
      <c r="P248" s="2" t="s">
        <v>1467</v>
      </c>
      <c r="Q248" s="2"/>
      <c r="R248" s="3" t="n">
        <v>0.81</v>
      </c>
      <c r="S248" s="3" t="n">
        <v>1</v>
      </c>
      <c r="T248" s="3" t="n">
        <v>1.7</v>
      </c>
      <c r="U248" s="2"/>
      <c r="V248" s="2" t="s">
        <v>40</v>
      </c>
      <c r="W248" s="2" t="s">
        <v>2250</v>
      </c>
      <c r="X248" s="5" t="s">
        <v>2251</v>
      </c>
      <c r="Y248" s="2" t="n">
        <v>16044235</v>
      </c>
    </row>
    <row r="249" customFormat="false" ht="15" hidden="false" customHeight="false" outlineLevel="0" collapsed="false">
      <c r="A249" s="2" t="s">
        <v>973</v>
      </c>
      <c r="B249" s="2" t="s">
        <v>2303</v>
      </c>
      <c r="C249" s="2" t="s">
        <v>2304</v>
      </c>
      <c r="D249" s="2" t="s">
        <v>2305</v>
      </c>
      <c r="E249" s="2"/>
      <c r="F249" s="2" t="s">
        <v>1460</v>
      </c>
      <c r="G249" s="2" t="s">
        <v>2306</v>
      </c>
      <c r="H249" s="2"/>
      <c r="I249" s="2" t="s">
        <v>2307</v>
      </c>
      <c r="J249" s="2"/>
      <c r="K249" s="2" t="s">
        <v>2308</v>
      </c>
      <c r="L249" s="2" t="s">
        <v>2309</v>
      </c>
      <c r="M249" s="2"/>
      <c r="N249" s="2"/>
      <c r="O249" s="2" t="s">
        <v>1466</v>
      </c>
      <c r="P249" s="2" t="s">
        <v>1467</v>
      </c>
      <c r="Q249" s="2"/>
      <c r="R249" s="3" t="n">
        <v>0.81</v>
      </c>
      <c r="S249" s="3" t="n">
        <v>1</v>
      </c>
      <c r="T249" s="3" t="n">
        <v>1.7</v>
      </c>
      <c r="U249" s="2"/>
      <c r="V249" s="2" t="s">
        <v>40</v>
      </c>
      <c r="W249" s="2" t="s">
        <v>2250</v>
      </c>
      <c r="X249" s="5" t="s">
        <v>2258</v>
      </c>
      <c r="Y249" s="2" t="n">
        <v>16044234</v>
      </c>
    </row>
    <row r="250" customFormat="false" ht="15" hidden="false" customHeight="false" outlineLevel="0" collapsed="false">
      <c r="A250" s="2" t="s">
        <v>2310</v>
      </c>
      <c r="B250" s="2" t="s">
        <v>2311</v>
      </c>
      <c r="C250" s="2" t="s">
        <v>2312</v>
      </c>
      <c r="D250" s="2" t="s">
        <v>2313</v>
      </c>
      <c r="E250" s="2" t="s">
        <v>29</v>
      </c>
      <c r="F250" s="2" t="s">
        <v>1460</v>
      </c>
      <c r="G250" s="2" t="s">
        <v>287</v>
      </c>
      <c r="H250" s="2" t="s">
        <v>2314</v>
      </c>
      <c r="I250" s="2" t="s">
        <v>2315</v>
      </c>
      <c r="J250" s="2" t="s">
        <v>2316</v>
      </c>
      <c r="K250" s="2" t="s">
        <v>2317</v>
      </c>
      <c r="L250" s="2" t="s">
        <v>1037</v>
      </c>
      <c r="M250" s="2"/>
      <c r="N250" s="2"/>
      <c r="O250" s="2" t="s">
        <v>1466</v>
      </c>
      <c r="P250" s="2" t="s">
        <v>1467</v>
      </c>
      <c r="Q250" s="2"/>
      <c r="R250" s="3" t="n">
        <v>0.84</v>
      </c>
      <c r="S250" s="3" t="n">
        <v>1</v>
      </c>
      <c r="T250" s="3" t="n">
        <v>1.8</v>
      </c>
      <c r="U250" s="2"/>
      <c r="V250" s="2" t="s">
        <v>40</v>
      </c>
      <c r="W250" s="2" t="s">
        <v>2250</v>
      </c>
      <c r="X250" s="5" t="s">
        <v>2251</v>
      </c>
      <c r="Y250" s="2" t="n">
        <v>16044232</v>
      </c>
    </row>
    <row r="251" customFormat="false" ht="15" hidden="false" customHeight="false" outlineLevel="0" collapsed="false">
      <c r="A251" s="2" t="s">
        <v>2318</v>
      </c>
      <c r="B251" s="2" t="s">
        <v>2319</v>
      </c>
      <c r="C251" s="2" t="s">
        <v>2320</v>
      </c>
      <c r="D251" s="2"/>
      <c r="E251" s="2"/>
      <c r="F251" s="2" t="s">
        <v>1487</v>
      </c>
      <c r="G251" s="2" t="s">
        <v>287</v>
      </c>
      <c r="H251" s="2"/>
      <c r="I251" s="2" t="s">
        <v>2321</v>
      </c>
      <c r="J251" s="2"/>
      <c r="K251" s="2" t="s">
        <v>2322</v>
      </c>
      <c r="L251" s="2" t="s">
        <v>2323</v>
      </c>
      <c r="M251" s="2"/>
      <c r="N251" s="2"/>
      <c r="O251" s="2" t="s">
        <v>1466</v>
      </c>
      <c r="P251" s="2" t="s">
        <v>1467</v>
      </c>
      <c r="Q251" s="2"/>
      <c r="R251" s="3" t="n">
        <v>0.84</v>
      </c>
      <c r="S251" s="3" t="n">
        <v>1</v>
      </c>
      <c r="T251" s="3" t="n">
        <v>1.8</v>
      </c>
      <c r="U251" s="2"/>
      <c r="V251" s="2" t="s">
        <v>40</v>
      </c>
      <c r="W251" s="2" t="s">
        <v>2250</v>
      </c>
      <c r="X251" s="5" t="s">
        <v>2258</v>
      </c>
      <c r="Y251" s="2" t="n">
        <v>16044231</v>
      </c>
    </row>
    <row r="252" customFormat="false" ht="15" hidden="false" customHeight="false" outlineLevel="0" collapsed="false">
      <c r="A252" s="2" t="s">
        <v>2324</v>
      </c>
      <c r="B252" s="2" t="s">
        <v>1575</v>
      </c>
      <c r="C252" s="2" t="s">
        <v>2325</v>
      </c>
      <c r="D252" s="2"/>
      <c r="E252" s="2"/>
      <c r="F252" s="2" t="s">
        <v>1487</v>
      </c>
      <c r="G252" s="2" t="s">
        <v>389</v>
      </c>
      <c r="H252" s="2"/>
      <c r="I252" s="2" t="s">
        <v>2326</v>
      </c>
      <c r="J252" s="2"/>
      <c r="K252" s="2" t="s">
        <v>2327</v>
      </c>
      <c r="L252" s="2" t="s">
        <v>2328</v>
      </c>
      <c r="M252" s="2"/>
      <c r="N252" s="2"/>
      <c r="O252" s="2" t="s">
        <v>1466</v>
      </c>
      <c r="P252" s="2" t="s">
        <v>1467</v>
      </c>
      <c r="Q252" s="2"/>
      <c r="R252" s="3" t="n">
        <v>0.84</v>
      </c>
      <c r="S252" s="3" t="n">
        <v>1</v>
      </c>
      <c r="T252" s="3" t="n">
        <v>1.8</v>
      </c>
      <c r="U252" s="2"/>
      <c r="V252" s="2" t="s">
        <v>40</v>
      </c>
      <c r="W252" s="2" t="s">
        <v>2250</v>
      </c>
      <c r="X252" s="5" t="s">
        <v>2251</v>
      </c>
      <c r="Y252" s="2" t="n">
        <v>16044230</v>
      </c>
    </row>
    <row r="253" customFormat="false" ht="15" hidden="false" customHeight="false" outlineLevel="0" collapsed="false">
      <c r="A253" s="2" t="s">
        <v>2329</v>
      </c>
      <c r="B253" s="2" t="s">
        <v>2330</v>
      </c>
      <c r="C253" s="2" t="s">
        <v>2331</v>
      </c>
      <c r="D253" s="2" t="s">
        <v>2332</v>
      </c>
      <c r="E253" s="2"/>
      <c r="F253" s="2" t="s">
        <v>1460</v>
      </c>
      <c r="G253" s="2" t="s">
        <v>59</v>
      </c>
      <c r="H253" s="2"/>
      <c r="I253" s="2" t="s">
        <v>2333</v>
      </c>
      <c r="J253" s="2"/>
      <c r="K253" s="2" t="s">
        <v>2331</v>
      </c>
      <c r="L253" s="2" t="s">
        <v>2275</v>
      </c>
      <c r="M253" s="2"/>
      <c r="N253" s="2"/>
      <c r="O253" s="2" t="s">
        <v>1466</v>
      </c>
      <c r="P253" s="2" t="s">
        <v>1467</v>
      </c>
      <c r="Q253" s="2"/>
      <c r="R253" s="3" t="n">
        <v>0.86</v>
      </c>
      <c r="S253" s="3" t="n">
        <v>1</v>
      </c>
      <c r="T253" s="3" t="n">
        <v>1.8</v>
      </c>
      <c r="U253" s="2"/>
      <c r="V253" s="2" t="s">
        <v>40</v>
      </c>
      <c r="W253" s="2" t="s">
        <v>2250</v>
      </c>
      <c r="X253" s="5" t="s">
        <v>2258</v>
      </c>
      <c r="Y253" s="2" t="n">
        <v>16044229</v>
      </c>
    </row>
    <row r="254" customFormat="false" ht="15" hidden="false" customHeight="false" outlineLevel="0" collapsed="false">
      <c r="A254" s="2" t="s">
        <v>1411</v>
      </c>
      <c r="B254" s="2" t="s">
        <v>2334</v>
      </c>
      <c r="C254" s="2" t="s">
        <v>2335</v>
      </c>
      <c r="D254" s="2"/>
      <c r="E254" s="2"/>
      <c r="F254" s="2" t="s">
        <v>1460</v>
      </c>
      <c r="G254" s="2" t="s">
        <v>674</v>
      </c>
      <c r="H254" s="2"/>
      <c r="I254" s="2" t="s">
        <v>2336</v>
      </c>
      <c r="J254" s="2"/>
      <c r="K254" s="2" t="s">
        <v>2337</v>
      </c>
      <c r="L254" s="2" t="s">
        <v>2338</v>
      </c>
      <c r="M254" s="2"/>
      <c r="N254" s="2"/>
      <c r="O254" s="2" t="s">
        <v>1466</v>
      </c>
      <c r="P254" s="2" t="s">
        <v>1467</v>
      </c>
      <c r="Q254" s="2"/>
      <c r="R254" s="3" t="n">
        <v>0.86</v>
      </c>
      <c r="S254" s="3" t="n">
        <v>1</v>
      </c>
      <c r="T254" s="3" t="n">
        <v>1.8</v>
      </c>
      <c r="U254" s="2"/>
      <c r="V254" s="2" t="s">
        <v>40</v>
      </c>
      <c r="W254" s="2" t="s">
        <v>2250</v>
      </c>
      <c r="X254" s="5" t="s">
        <v>2251</v>
      </c>
      <c r="Y254" s="2" t="n">
        <v>16044228</v>
      </c>
    </row>
    <row r="255" customFormat="false" ht="15" hidden="false" customHeight="false" outlineLevel="0" collapsed="false">
      <c r="A255" s="2" t="s">
        <v>2339</v>
      </c>
      <c r="B255" s="2" t="s">
        <v>2340</v>
      </c>
      <c r="C255" s="2" t="s">
        <v>2341</v>
      </c>
      <c r="D255" s="2"/>
      <c r="E255" s="2"/>
      <c r="F255" s="2" t="s">
        <v>1460</v>
      </c>
      <c r="G255" s="2" t="s">
        <v>59</v>
      </c>
      <c r="H255" s="2"/>
      <c r="I255" s="2" t="s">
        <v>2342</v>
      </c>
      <c r="J255" s="2"/>
      <c r="K255" s="2" t="s">
        <v>2343</v>
      </c>
      <c r="L255" s="2" t="s">
        <v>2344</v>
      </c>
      <c r="M255" s="2"/>
      <c r="N255" s="2"/>
      <c r="O255" s="2" t="s">
        <v>1466</v>
      </c>
      <c r="P255" s="2" t="s">
        <v>1467</v>
      </c>
      <c r="Q255" s="2"/>
      <c r="R255" s="3" t="n">
        <v>0.86</v>
      </c>
      <c r="S255" s="3" t="n">
        <v>1</v>
      </c>
      <c r="T255" s="3" t="n">
        <v>1.8</v>
      </c>
      <c r="U255" s="2"/>
      <c r="V255" s="2" t="s">
        <v>40</v>
      </c>
      <c r="W255" s="2" t="s">
        <v>2250</v>
      </c>
      <c r="X255" s="5" t="s">
        <v>2258</v>
      </c>
      <c r="Y255" s="2" t="n">
        <v>16044227</v>
      </c>
    </row>
    <row r="256" customFormat="false" ht="15" hidden="false" customHeight="false" outlineLevel="0" collapsed="false">
      <c r="A256" s="2" t="s">
        <v>2345</v>
      </c>
      <c r="B256" s="2" t="s">
        <v>2346</v>
      </c>
      <c r="C256" s="2" t="s">
        <v>2347</v>
      </c>
      <c r="D256" s="2"/>
      <c r="E256" s="2"/>
      <c r="F256" s="2" t="s">
        <v>1460</v>
      </c>
      <c r="G256" s="2" t="s">
        <v>59</v>
      </c>
      <c r="H256" s="2"/>
      <c r="I256" s="2" t="s">
        <v>2348</v>
      </c>
      <c r="J256" s="2"/>
      <c r="K256" s="2" t="s">
        <v>2349</v>
      </c>
      <c r="L256" s="2" t="s">
        <v>2323</v>
      </c>
      <c r="M256" s="2"/>
      <c r="N256" s="2"/>
      <c r="O256" s="2" t="s">
        <v>1466</v>
      </c>
      <c r="P256" s="2" t="s">
        <v>1467</v>
      </c>
      <c r="Q256" s="2"/>
      <c r="R256" s="3" t="n">
        <v>0.86</v>
      </c>
      <c r="S256" s="3" t="n">
        <v>1</v>
      </c>
      <c r="T256" s="3" t="n">
        <v>1.8</v>
      </c>
      <c r="U256" s="2"/>
      <c r="V256" s="2" t="s">
        <v>40</v>
      </c>
      <c r="W256" s="2" t="s">
        <v>2250</v>
      </c>
      <c r="X256" s="5" t="s">
        <v>2251</v>
      </c>
      <c r="Y256" s="2" t="n">
        <v>16044226</v>
      </c>
    </row>
    <row r="257" customFormat="false" ht="15" hidden="false" customHeight="false" outlineLevel="0" collapsed="false">
      <c r="A257" s="2" t="s">
        <v>2150</v>
      </c>
      <c r="B257" s="2" t="s">
        <v>2350</v>
      </c>
      <c r="C257" s="2" t="s">
        <v>2351</v>
      </c>
      <c r="D257" s="2" t="s">
        <v>2352</v>
      </c>
      <c r="E257" s="2" t="s">
        <v>1827</v>
      </c>
      <c r="F257" s="2" t="s">
        <v>1460</v>
      </c>
      <c r="G257" s="2" t="s">
        <v>2353</v>
      </c>
      <c r="H257" s="2" t="s">
        <v>2354</v>
      </c>
      <c r="I257" s="2" t="s">
        <v>2355</v>
      </c>
      <c r="J257" s="2" t="s">
        <v>2356</v>
      </c>
      <c r="K257" s="2" t="s">
        <v>2357</v>
      </c>
      <c r="L257" s="2" t="s">
        <v>2358</v>
      </c>
      <c r="M257" s="2"/>
      <c r="N257" s="2"/>
      <c r="O257" s="2" t="s">
        <v>1466</v>
      </c>
      <c r="P257" s="2" t="s">
        <v>1467</v>
      </c>
      <c r="Q257" s="2"/>
      <c r="R257" s="3" t="n">
        <v>0.91</v>
      </c>
      <c r="S257" s="3" t="n">
        <v>1</v>
      </c>
      <c r="T257" s="3" t="n">
        <v>1.9</v>
      </c>
      <c r="U257" s="2"/>
      <c r="V257" s="2" t="s">
        <v>40</v>
      </c>
      <c r="W257" s="2" t="s">
        <v>2250</v>
      </c>
      <c r="X257" s="5" t="s">
        <v>2258</v>
      </c>
      <c r="Y257" s="2" t="n">
        <v>16044225</v>
      </c>
    </row>
    <row r="258" customFormat="false" ht="15" hidden="false" customHeight="false" outlineLevel="0" collapsed="false">
      <c r="A258" s="2" t="s">
        <v>2282</v>
      </c>
      <c r="B258" s="2" t="s">
        <v>2359</v>
      </c>
      <c r="C258" s="2" t="s">
        <v>2360</v>
      </c>
      <c r="D258" s="2" t="s">
        <v>2361</v>
      </c>
      <c r="E258" s="2" t="s">
        <v>856</v>
      </c>
      <c r="F258" s="2" t="s">
        <v>1460</v>
      </c>
      <c r="G258" s="2" t="s">
        <v>2362</v>
      </c>
      <c r="H258" s="2" t="s">
        <v>2363</v>
      </c>
      <c r="I258" s="2" t="s">
        <v>2364</v>
      </c>
      <c r="J258" s="2" t="s">
        <v>2365</v>
      </c>
      <c r="K258" s="2" t="s">
        <v>2366</v>
      </c>
      <c r="L258" s="2" t="s">
        <v>2209</v>
      </c>
      <c r="M258" s="2"/>
      <c r="N258" s="2"/>
      <c r="O258" s="2" t="s">
        <v>1466</v>
      </c>
      <c r="P258" s="2" t="s">
        <v>1467</v>
      </c>
      <c r="Q258" s="2"/>
      <c r="R258" s="3" t="n">
        <v>0.91</v>
      </c>
      <c r="S258" s="3" t="n">
        <v>1</v>
      </c>
      <c r="T258" s="3" t="n">
        <v>1.9</v>
      </c>
      <c r="U258" s="2"/>
      <c r="V258" s="2" t="s">
        <v>40</v>
      </c>
      <c r="W258" s="2" t="s">
        <v>2250</v>
      </c>
      <c r="X258" s="5" t="s">
        <v>2251</v>
      </c>
      <c r="Y258" s="2" t="n">
        <v>16044224</v>
      </c>
    </row>
    <row r="259" customFormat="false" ht="15" hidden="false" customHeight="false" outlineLevel="0" collapsed="false">
      <c r="A259" s="2" t="s">
        <v>2367</v>
      </c>
      <c r="B259" s="2" t="s">
        <v>2368</v>
      </c>
      <c r="C259" s="2" t="s">
        <v>2369</v>
      </c>
      <c r="D259" s="2" t="s">
        <v>2370</v>
      </c>
      <c r="E259" s="2"/>
      <c r="F259" s="2" t="s">
        <v>30</v>
      </c>
      <c r="G259" s="2" t="s">
        <v>2371</v>
      </c>
      <c r="H259" s="2" t="s">
        <v>2372</v>
      </c>
      <c r="I259" s="2" t="s">
        <v>2373</v>
      </c>
      <c r="J259" s="2" t="s">
        <v>2374</v>
      </c>
      <c r="K259" s="2" t="s">
        <v>2375</v>
      </c>
      <c r="L259" s="2" t="s">
        <v>2376</v>
      </c>
      <c r="M259" s="2"/>
      <c r="N259" s="2"/>
      <c r="O259" s="2" t="s">
        <v>1466</v>
      </c>
      <c r="P259" s="2" t="s">
        <v>1467</v>
      </c>
      <c r="Q259" s="2"/>
      <c r="R259" s="3" t="n">
        <v>0.95</v>
      </c>
      <c r="S259" s="3" t="n">
        <v>1</v>
      </c>
      <c r="T259" s="3" t="n">
        <v>1.9</v>
      </c>
      <c r="U259" s="2"/>
      <c r="V259" s="2" t="s">
        <v>40</v>
      </c>
      <c r="W259" s="2" t="s">
        <v>2250</v>
      </c>
      <c r="X259" s="5" t="s">
        <v>2258</v>
      </c>
      <c r="Y259" s="2" t="n">
        <v>16044223</v>
      </c>
    </row>
    <row r="260" customFormat="false" ht="15" hidden="false" customHeight="false" outlineLevel="0" collapsed="false">
      <c r="A260" s="2" t="s">
        <v>1161</v>
      </c>
      <c r="B260" s="2" t="s">
        <v>2377</v>
      </c>
      <c r="C260" s="2" t="s">
        <v>2378</v>
      </c>
      <c r="D260" s="2" t="s">
        <v>2379</v>
      </c>
      <c r="E260" s="2"/>
      <c r="F260" s="2" t="s">
        <v>165</v>
      </c>
      <c r="G260" s="2" t="s">
        <v>389</v>
      </c>
      <c r="H260" s="2" t="s">
        <v>2380</v>
      </c>
      <c r="I260" s="2" t="s">
        <v>2381</v>
      </c>
      <c r="J260" s="2" t="s">
        <v>2382</v>
      </c>
      <c r="K260" s="2" t="s">
        <v>2383</v>
      </c>
      <c r="L260" s="2" t="s">
        <v>2384</v>
      </c>
      <c r="M260" s="2"/>
      <c r="N260" s="2"/>
      <c r="O260" s="2" t="s">
        <v>1466</v>
      </c>
      <c r="P260" s="2" t="s">
        <v>1467</v>
      </c>
      <c r="Q260" s="2"/>
      <c r="R260" s="3" t="n">
        <v>0.98</v>
      </c>
      <c r="S260" s="3" t="n">
        <v>1</v>
      </c>
      <c r="T260" s="3" t="n">
        <v>2</v>
      </c>
      <c r="U260" s="2"/>
      <c r="V260" s="2" t="s">
        <v>40</v>
      </c>
      <c r="W260" s="2" t="s">
        <v>2250</v>
      </c>
      <c r="X260" s="5" t="s">
        <v>2251</v>
      </c>
      <c r="Y260" s="2" t="n">
        <v>16044221</v>
      </c>
    </row>
    <row r="261" customFormat="false" ht="15" hidden="false" customHeight="false" outlineLevel="0" collapsed="false">
      <c r="A261" s="2" t="s">
        <v>1153</v>
      </c>
      <c r="B261" s="2" t="s">
        <v>2385</v>
      </c>
      <c r="C261" s="2" t="s">
        <v>2386</v>
      </c>
      <c r="D261" s="2" t="s">
        <v>2387</v>
      </c>
      <c r="E261" s="2" t="s">
        <v>47</v>
      </c>
      <c r="F261" s="2" t="s">
        <v>30</v>
      </c>
      <c r="G261" s="2" t="s">
        <v>287</v>
      </c>
      <c r="H261" s="2" t="s">
        <v>2388</v>
      </c>
      <c r="I261" s="2" t="s">
        <v>2389</v>
      </c>
      <c r="J261" s="2" t="s">
        <v>2390</v>
      </c>
      <c r="K261" s="2" t="s">
        <v>2391</v>
      </c>
      <c r="L261" s="2" t="s">
        <v>63</v>
      </c>
      <c r="M261" s="2"/>
      <c r="N261" s="2"/>
      <c r="O261" s="2" t="s">
        <v>1683</v>
      </c>
      <c r="P261" s="2" t="s">
        <v>2392</v>
      </c>
      <c r="Q261" s="2" t="s">
        <v>1685</v>
      </c>
      <c r="R261" s="3" t="n">
        <v>0.81</v>
      </c>
      <c r="S261" s="3" t="n">
        <v>1.1</v>
      </c>
      <c r="T261" s="3" t="n">
        <v>1.8</v>
      </c>
      <c r="U261" s="2" t="s">
        <v>2393</v>
      </c>
      <c r="V261" s="2" t="s">
        <v>40</v>
      </c>
      <c r="W261" s="2" t="s">
        <v>2394</v>
      </c>
      <c r="X261" s="5" t="s">
        <v>2258</v>
      </c>
      <c r="Y261" s="2" t="n">
        <v>15955441</v>
      </c>
    </row>
    <row r="262" customFormat="false" ht="15" hidden="false" customHeight="false" outlineLevel="0" collapsed="false">
      <c r="A262" s="2" t="s">
        <v>2395</v>
      </c>
      <c r="B262" s="2" t="s">
        <v>2396</v>
      </c>
      <c r="C262" s="2" t="s">
        <v>2017</v>
      </c>
      <c r="D262" s="2" t="s">
        <v>2397</v>
      </c>
      <c r="E262" s="2" t="s">
        <v>103</v>
      </c>
      <c r="F262" s="2" t="s">
        <v>30</v>
      </c>
      <c r="G262" s="2" t="s">
        <v>2398</v>
      </c>
      <c r="H262" s="2" t="s">
        <v>2399</v>
      </c>
      <c r="I262" s="2" t="s">
        <v>2400</v>
      </c>
      <c r="J262" s="2" t="s">
        <v>2401</v>
      </c>
      <c r="K262" s="2" t="s">
        <v>2402</v>
      </c>
      <c r="L262" s="2" t="s">
        <v>2403</v>
      </c>
      <c r="M262" s="2"/>
      <c r="N262" s="2"/>
      <c r="O262" s="2" t="s">
        <v>1683</v>
      </c>
      <c r="P262" s="2" t="s">
        <v>2404</v>
      </c>
      <c r="Q262" s="2" t="s">
        <v>1685</v>
      </c>
      <c r="R262" s="3" t="n">
        <v>1</v>
      </c>
      <c r="S262" s="3" t="n">
        <v>1.5</v>
      </c>
      <c r="T262" s="3" t="n">
        <v>2.3</v>
      </c>
      <c r="U262" s="2" t="s">
        <v>2405</v>
      </c>
      <c r="V262" s="2" t="s">
        <v>40</v>
      </c>
      <c r="W262" s="2" t="s">
        <v>2394</v>
      </c>
      <c r="X262" s="5" t="s">
        <v>2251</v>
      </c>
      <c r="Y262" s="2" t="n">
        <v>15955421</v>
      </c>
    </row>
    <row r="263" customFormat="false" ht="15" hidden="false" customHeight="false" outlineLevel="0" collapsed="false">
      <c r="A263" s="2" t="s">
        <v>2406</v>
      </c>
      <c r="B263" s="2" t="s">
        <v>2407</v>
      </c>
      <c r="C263" s="2" t="s">
        <v>2408</v>
      </c>
      <c r="D263" s="2" t="s">
        <v>2409</v>
      </c>
      <c r="E263" s="2" t="s">
        <v>58</v>
      </c>
      <c r="F263" s="2" t="s">
        <v>48</v>
      </c>
      <c r="G263" s="2" t="s">
        <v>2410</v>
      </c>
      <c r="H263" s="2" t="s">
        <v>2411</v>
      </c>
      <c r="I263" s="2" t="s">
        <v>2412</v>
      </c>
      <c r="J263" s="2" t="s">
        <v>2413</v>
      </c>
      <c r="K263" s="2" t="s">
        <v>2414</v>
      </c>
      <c r="L263" s="2" t="s">
        <v>2415</v>
      </c>
      <c r="M263" s="2"/>
      <c r="N263" s="2"/>
      <c r="O263" s="2" t="s">
        <v>1683</v>
      </c>
      <c r="P263" s="2" t="s">
        <v>2404</v>
      </c>
      <c r="Q263" s="2" t="s">
        <v>1685</v>
      </c>
      <c r="R263" s="3" t="n">
        <v>0.95</v>
      </c>
      <c r="S263" s="3" t="n">
        <v>1.5</v>
      </c>
      <c r="T263" s="3" t="n">
        <v>2.2</v>
      </c>
      <c r="U263" s="2" t="s">
        <v>2416</v>
      </c>
      <c r="V263" s="2" t="s">
        <v>40</v>
      </c>
      <c r="W263" s="2" t="s">
        <v>2394</v>
      </c>
      <c r="X263" s="5" t="s">
        <v>2258</v>
      </c>
      <c r="Y263" s="2" t="n">
        <v>15955415</v>
      </c>
    </row>
    <row r="264" customFormat="false" ht="15" hidden="false" customHeight="false" outlineLevel="0" collapsed="false">
      <c r="A264" s="2" t="s">
        <v>2417</v>
      </c>
      <c r="B264" s="2" t="s">
        <v>2418</v>
      </c>
      <c r="C264" s="2" t="s">
        <v>2419</v>
      </c>
      <c r="D264" s="2" t="s">
        <v>2420</v>
      </c>
      <c r="E264" s="2" t="s">
        <v>103</v>
      </c>
      <c r="F264" s="2" t="s">
        <v>165</v>
      </c>
      <c r="G264" s="2" t="s">
        <v>399</v>
      </c>
      <c r="H264" s="2" t="s">
        <v>2421</v>
      </c>
      <c r="I264" s="2" t="s">
        <v>2422</v>
      </c>
      <c r="J264" s="2" t="s">
        <v>2423</v>
      </c>
      <c r="K264" s="2" t="s">
        <v>2424</v>
      </c>
      <c r="L264" s="2" t="s">
        <v>2425</v>
      </c>
      <c r="M264" s="2"/>
      <c r="N264" s="2"/>
      <c r="O264" s="2" t="s">
        <v>1683</v>
      </c>
      <c r="P264" s="2" t="s">
        <v>2426</v>
      </c>
      <c r="Q264" s="2" t="s">
        <v>1733</v>
      </c>
      <c r="R264" s="3" t="n">
        <v>0.9</v>
      </c>
      <c r="S264" s="3" t="n">
        <v>1.5</v>
      </c>
      <c r="T264" s="3" t="n">
        <v>2.1</v>
      </c>
      <c r="U264" s="2" t="s">
        <v>2427</v>
      </c>
      <c r="V264" s="2" t="s">
        <v>40</v>
      </c>
      <c r="W264" s="2" t="s">
        <v>2428</v>
      </c>
      <c r="X264" s="5" t="s">
        <v>2251</v>
      </c>
      <c r="Y264" s="2" t="n">
        <v>15818879</v>
      </c>
    </row>
    <row r="265" customFormat="false" ht="15" hidden="false" customHeight="false" outlineLevel="0" collapsed="false">
      <c r="A265" s="2" t="s">
        <v>2429</v>
      </c>
      <c r="B265" s="2" t="s">
        <v>2430</v>
      </c>
      <c r="C265" s="2" t="s">
        <v>2431</v>
      </c>
      <c r="D265" s="2" t="s">
        <v>2432</v>
      </c>
      <c r="E265" s="2" t="s">
        <v>103</v>
      </c>
      <c r="F265" s="2" t="s">
        <v>165</v>
      </c>
      <c r="G265" s="2" t="s">
        <v>2433</v>
      </c>
      <c r="H265" s="2"/>
      <c r="I265" s="2" t="s">
        <v>2434</v>
      </c>
      <c r="J265" s="2" t="s">
        <v>2435</v>
      </c>
      <c r="K265" s="2" t="s">
        <v>2436</v>
      </c>
      <c r="L265" s="2" t="s">
        <v>2437</v>
      </c>
      <c r="M265" s="2"/>
      <c r="N265" s="2"/>
      <c r="O265" s="2" t="s">
        <v>1683</v>
      </c>
      <c r="P265" s="2" t="s">
        <v>2438</v>
      </c>
      <c r="Q265" s="2" t="s">
        <v>1733</v>
      </c>
      <c r="R265" s="3" t="n">
        <v>0.92</v>
      </c>
      <c r="S265" s="3" t="n">
        <v>1.5</v>
      </c>
      <c r="T265" s="3" t="n">
        <v>2.1</v>
      </c>
      <c r="U265" s="2" t="s">
        <v>2439</v>
      </c>
      <c r="V265" s="2" t="s">
        <v>40</v>
      </c>
      <c r="W265" s="2" t="s">
        <v>2440</v>
      </c>
      <c r="X265" s="5" t="s">
        <v>2258</v>
      </c>
      <c r="Y265" s="2" t="n">
        <v>15818851</v>
      </c>
    </row>
    <row r="266" customFormat="false" ht="15" hidden="false" customHeight="false" outlineLevel="0" collapsed="false">
      <c r="A266" s="2" t="s">
        <v>2441</v>
      </c>
      <c r="B266" s="2" t="s">
        <v>2442</v>
      </c>
      <c r="C266" s="2" t="s">
        <v>1660</v>
      </c>
      <c r="D266" s="2" t="s">
        <v>2443</v>
      </c>
      <c r="E266" s="2" t="s">
        <v>90</v>
      </c>
      <c r="F266" s="2" t="s">
        <v>1782</v>
      </c>
      <c r="G266" s="2" t="s">
        <v>202</v>
      </c>
      <c r="H266" s="2"/>
      <c r="I266" s="2" t="s">
        <v>2444</v>
      </c>
      <c r="J266" s="2" t="s">
        <v>2445</v>
      </c>
      <c r="K266" s="2" t="s">
        <v>2446</v>
      </c>
      <c r="L266" s="2" t="s">
        <v>1106</v>
      </c>
      <c r="M266" s="2"/>
      <c r="N266" s="2"/>
      <c r="O266" s="2" t="s">
        <v>1440</v>
      </c>
      <c r="P266" s="2" t="s">
        <v>2447</v>
      </c>
      <c r="Q266" s="2" t="s">
        <v>1442</v>
      </c>
      <c r="R266" s="3" t="n">
        <v>0.85</v>
      </c>
      <c r="S266" s="3" t="n">
        <v>1.1</v>
      </c>
      <c r="T266" s="3" t="n">
        <v>1.8</v>
      </c>
      <c r="U266" s="2" t="s">
        <v>2448</v>
      </c>
      <c r="V266" s="2" t="s">
        <v>40</v>
      </c>
      <c r="W266" s="2" t="s">
        <v>2449</v>
      </c>
      <c r="X266" s="5" t="s">
        <v>2251</v>
      </c>
      <c r="Y266" s="2" t="n">
        <v>15804090</v>
      </c>
    </row>
    <row r="267" customFormat="false" ht="15" hidden="false" customHeight="false" outlineLevel="0" collapsed="false">
      <c r="A267" s="2" t="s">
        <v>2450</v>
      </c>
      <c r="B267" s="2" t="s">
        <v>1534</v>
      </c>
      <c r="C267" s="2" t="s">
        <v>1660</v>
      </c>
      <c r="D267" s="2" t="s">
        <v>2451</v>
      </c>
      <c r="E267" s="2" t="s">
        <v>103</v>
      </c>
      <c r="F267" s="2" t="s">
        <v>165</v>
      </c>
      <c r="G267" s="2" t="s">
        <v>2452</v>
      </c>
      <c r="H267" s="2" t="s">
        <v>2453</v>
      </c>
      <c r="I267" s="2" t="s">
        <v>2454</v>
      </c>
      <c r="J267" s="2" t="s">
        <v>2455</v>
      </c>
      <c r="K267" s="2" t="s">
        <v>2456</v>
      </c>
      <c r="L267" s="2" t="s">
        <v>2338</v>
      </c>
      <c r="M267" s="2"/>
      <c r="N267" s="2"/>
      <c r="O267" s="2" t="s">
        <v>1440</v>
      </c>
      <c r="P267" s="2" t="s">
        <v>2457</v>
      </c>
      <c r="Q267" s="2" t="s">
        <v>1442</v>
      </c>
      <c r="R267" s="3" t="n">
        <v>0.9</v>
      </c>
      <c r="S267" s="3" t="n">
        <v>1.1</v>
      </c>
      <c r="T267" s="3" t="n">
        <v>1.9</v>
      </c>
      <c r="U267" s="2" t="s">
        <v>2458</v>
      </c>
      <c r="V267" s="2" t="s">
        <v>40</v>
      </c>
      <c r="W267" s="2" t="s">
        <v>2449</v>
      </c>
      <c r="X267" s="5" t="s">
        <v>2258</v>
      </c>
      <c r="Y267" s="2" t="n">
        <v>15804089</v>
      </c>
    </row>
    <row r="268" customFormat="false" ht="15" hidden="false" customHeight="false" outlineLevel="0" collapsed="false">
      <c r="A268" s="2" t="s">
        <v>1161</v>
      </c>
      <c r="B268" s="2" t="s">
        <v>2459</v>
      </c>
      <c r="C268" s="2" t="s">
        <v>2460</v>
      </c>
      <c r="D268" s="2" t="s">
        <v>2461</v>
      </c>
      <c r="E268" s="2" t="s">
        <v>47</v>
      </c>
      <c r="F268" s="2" t="s">
        <v>165</v>
      </c>
      <c r="G268" s="2" t="s">
        <v>1497</v>
      </c>
      <c r="H268" s="2" t="s">
        <v>2462</v>
      </c>
      <c r="I268" s="2" t="s">
        <v>2463</v>
      </c>
      <c r="J268" s="2" t="s">
        <v>2464</v>
      </c>
      <c r="K268" s="2" t="s">
        <v>2465</v>
      </c>
      <c r="L268" s="2" t="s">
        <v>2323</v>
      </c>
      <c r="M268" s="2"/>
      <c r="N268" s="2"/>
      <c r="O268" s="2" t="s">
        <v>1440</v>
      </c>
      <c r="P268" s="2" t="s">
        <v>2457</v>
      </c>
      <c r="Q268" s="2" t="s">
        <v>1442</v>
      </c>
      <c r="R268" s="3" t="n">
        <v>0.91</v>
      </c>
      <c r="S268" s="3" t="n">
        <v>1.1</v>
      </c>
      <c r="T268" s="3" t="n">
        <v>1.9</v>
      </c>
      <c r="U268" s="2" t="s">
        <v>2466</v>
      </c>
      <c r="V268" s="2" t="s">
        <v>40</v>
      </c>
      <c r="W268" s="2" t="s">
        <v>2449</v>
      </c>
      <c r="X268" s="5" t="s">
        <v>2251</v>
      </c>
      <c r="Y268" s="2" t="n">
        <v>15804088</v>
      </c>
    </row>
    <row r="269" customFormat="false" ht="15" hidden="false" customHeight="false" outlineLevel="0" collapsed="false">
      <c r="A269" s="2" t="s">
        <v>2467</v>
      </c>
      <c r="B269" s="2" t="s">
        <v>2468</v>
      </c>
      <c r="C269" s="2" t="s">
        <v>1660</v>
      </c>
      <c r="D269" s="2" t="s">
        <v>2469</v>
      </c>
      <c r="E269" s="2" t="s">
        <v>47</v>
      </c>
      <c r="F269" s="2" t="s">
        <v>30</v>
      </c>
      <c r="G269" s="2" t="s">
        <v>287</v>
      </c>
      <c r="H269" s="2" t="s">
        <v>2470</v>
      </c>
      <c r="I269" s="2" t="s">
        <v>2471</v>
      </c>
      <c r="J269" s="2" t="s">
        <v>2472</v>
      </c>
      <c r="K269" s="2" t="s">
        <v>2473</v>
      </c>
      <c r="L269" s="2" t="s">
        <v>2474</v>
      </c>
      <c r="M269" s="2"/>
      <c r="N269" s="2"/>
      <c r="O269" s="2" t="s">
        <v>1440</v>
      </c>
      <c r="P269" s="2" t="s">
        <v>2241</v>
      </c>
      <c r="Q269" s="2" t="s">
        <v>1454</v>
      </c>
      <c r="R269" s="3" t="n">
        <v>0.85</v>
      </c>
      <c r="S269" s="3" t="n">
        <v>1.1</v>
      </c>
      <c r="T269" s="3" t="n">
        <v>1.8</v>
      </c>
      <c r="U269" s="2" t="s">
        <v>2475</v>
      </c>
      <c r="V269" s="2" t="s">
        <v>40</v>
      </c>
      <c r="W269" s="2" t="s">
        <v>2476</v>
      </c>
      <c r="X269" s="5" t="s">
        <v>2258</v>
      </c>
      <c r="Y269" s="2" t="n">
        <v>15786399</v>
      </c>
    </row>
    <row r="270" customFormat="false" ht="15" hidden="false" customHeight="false" outlineLevel="0" collapsed="false">
      <c r="A270" s="2" t="s">
        <v>2477</v>
      </c>
      <c r="B270" s="2" t="s">
        <v>2478</v>
      </c>
      <c r="C270" s="2" t="s">
        <v>2479</v>
      </c>
      <c r="D270" s="2" t="s">
        <v>2480</v>
      </c>
      <c r="E270" s="2" t="s">
        <v>1692</v>
      </c>
      <c r="F270" s="2" t="s">
        <v>30</v>
      </c>
      <c r="G270" s="2" t="s">
        <v>211</v>
      </c>
      <c r="H270" s="2"/>
      <c r="I270" s="2" t="s">
        <v>2481</v>
      </c>
      <c r="J270" s="2" t="s">
        <v>2482</v>
      </c>
      <c r="K270" s="2" t="s">
        <v>2483</v>
      </c>
      <c r="L270" s="2" t="s">
        <v>813</v>
      </c>
      <c r="M270" s="2"/>
      <c r="N270" s="2"/>
      <c r="O270" s="2" t="s">
        <v>1440</v>
      </c>
      <c r="P270" s="2" t="s">
        <v>2484</v>
      </c>
      <c r="Q270" s="2" t="s">
        <v>1454</v>
      </c>
      <c r="R270" s="3" t="n">
        <v>0.83</v>
      </c>
      <c r="S270" s="3" t="n">
        <v>1.1</v>
      </c>
      <c r="T270" s="3" t="n">
        <v>1.8</v>
      </c>
      <c r="U270" s="2" t="s">
        <v>2485</v>
      </c>
      <c r="V270" s="2" t="s">
        <v>40</v>
      </c>
      <c r="W270" s="2" t="s">
        <v>2476</v>
      </c>
      <c r="X270" s="5" t="s">
        <v>2251</v>
      </c>
      <c r="Y270" s="2" t="n">
        <v>15786393</v>
      </c>
    </row>
    <row r="271" customFormat="false" ht="15" hidden="false" customHeight="false" outlineLevel="0" collapsed="false">
      <c r="A271" s="2" t="s">
        <v>2282</v>
      </c>
      <c r="B271" s="2" t="s">
        <v>2486</v>
      </c>
      <c r="C271" s="2" t="s">
        <v>2487</v>
      </c>
      <c r="D271" s="2"/>
      <c r="E271" s="2"/>
      <c r="F271" s="2" t="s">
        <v>1460</v>
      </c>
      <c r="G271" s="2" t="s">
        <v>59</v>
      </c>
      <c r="H271" s="2"/>
      <c r="I271" s="2" t="s">
        <v>2488</v>
      </c>
      <c r="J271" s="2"/>
      <c r="K271" s="2" t="s">
        <v>2489</v>
      </c>
      <c r="L271" s="2" t="s">
        <v>109</v>
      </c>
      <c r="M271" s="2"/>
      <c r="N271" s="2"/>
      <c r="O271" s="2" t="s">
        <v>1466</v>
      </c>
      <c r="P271" s="2" t="s">
        <v>1467</v>
      </c>
      <c r="Q271" s="2"/>
      <c r="R271" s="3" t="n">
        <v>0.81</v>
      </c>
      <c r="S271" s="3" t="n">
        <v>1</v>
      </c>
      <c r="T271" s="3" t="n">
        <v>1.7</v>
      </c>
      <c r="U271" s="2"/>
      <c r="V271" s="2" t="s">
        <v>40</v>
      </c>
      <c r="W271" s="2" t="s">
        <v>2490</v>
      </c>
      <c r="X271" s="5" t="s">
        <v>2258</v>
      </c>
      <c r="Y271" s="2" t="n">
        <v>15760778</v>
      </c>
    </row>
    <row r="272" customFormat="false" ht="15" hidden="false" customHeight="false" outlineLevel="0" collapsed="false">
      <c r="A272" s="2" t="s">
        <v>2491</v>
      </c>
      <c r="B272" s="2" t="s">
        <v>2492</v>
      </c>
      <c r="C272" s="2" t="s">
        <v>2493</v>
      </c>
      <c r="D272" s="2" t="s">
        <v>2494</v>
      </c>
      <c r="E272" s="2"/>
      <c r="F272" s="2" t="s">
        <v>1487</v>
      </c>
      <c r="G272" s="2" t="s">
        <v>124</v>
      </c>
      <c r="H272" s="2"/>
      <c r="I272" s="2" t="s">
        <v>2495</v>
      </c>
      <c r="J272" s="2"/>
      <c r="K272" s="2" t="s">
        <v>2496</v>
      </c>
      <c r="L272" s="2" t="s">
        <v>2497</v>
      </c>
      <c r="M272" s="2"/>
      <c r="N272" s="2"/>
      <c r="O272" s="2" t="s">
        <v>1466</v>
      </c>
      <c r="P272" s="2" t="s">
        <v>1467</v>
      </c>
      <c r="Q272" s="2"/>
      <c r="R272" s="3" t="n">
        <v>0.81</v>
      </c>
      <c r="S272" s="3" t="n">
        <v>1</v>
      </c>
      <c r="T272" s="3" t="n">
        <v>1.7</v>
      </c>
      <c r="U272" s="2"/>
      <c r="V272" s="2" t="s">
        <v>40</v>
      </c>
      <c r="W272" s="2" t="s">
        <v>2490</v>
      </c>
      <c r="X272" s="5" t="s">
        <v>2251</v>
      </c>
      <c r="Y272" s="2" t="n">
        <v>15760777</v>
      </c>
    </row>
    <row r="273" customFormat="false" ht="15" hidden="false" customHeight="false" outlineLevel="0" collapsed="false">
      <c r="A273" s="2" t="s">
        <v>2498</v>
      </c>
      <c r="B273" s="2" t="s">
        <v>2499</v>
      </c>
      <c r="C273" s="2" t="s">
        <v>2500</v>
      </c>
      <c r="D273" s="2" t="s">
        <v>2501</v>
      </c>
      <c r="E273" s="2"/>
      <c r="F273" s="2" t="s">
        <v>1460</v>
      </c>
      <c r="G273" s="2" t="s">
        <v>437</v>
      </c>
      <c r="H273" s="2"/>
      <c r="I273" s="2" t="s">
        <v>2502</v>
      </c>
      <c r="J273" s="2"/>
      <c r="K273" s="2" t="s">
        <v>2503</v>
      </c>
      <c r="L273" s="2" t="s">
        <v>623</v>
      </c>
      <c r="M273" s="2"/>
      <c r="N273" s="2"/>
      <c r="O273" s="2" t="s">
        <v>1466</v>
      </c>
      <c r="P273" s="2" t="s">
        <v>1467</v>
      </c>
      <c r="Q273" s="2"/>
      <c r="R273" s="3" t="n">
        <v>0.81</v>
      </c>
      <c r="S273" s="3" t="n">
        <v>1</v>
      </c>
      <c r="T273" s="3" t="n">
        <v>1.7</v>
      </c>
      <c r="U273" s="2"/>
      <c r="V273" s="2" t="s">
        <v>40</v>
      </c>
      <c r="W273" s="2" t="s">
        <v>2490</v>
      </c>
      <c r="X273" s="5" t="s">
        <v>2258</v>
      </c>
      <c r="Y273" s="2" t="n">
        <v>15760776</v>
      </c>
    </row>
    <row r="274" customFormat="false" ht="15" hidden="false" customHeight="false" outlineLevel="0" collapsed="false">
      <c r="A274" s="2" t="s">
        <v>2504</v>
      </c>
      <c r="B274" s="2" t="s">
        <v>2505</v>
      </c>
      <c r="C274" s="2" t="s">
        <v>2506</v>
      </c>
      <c r="D274" s="2" t="s">
        <v>2507</v>
      </c>
      <c r="E274" s="2" t="s">
        <v>103</v>
      </c>
      <c r="F274" s="2" t="s">
        <v>30</v>
      </c>
      <c r="G274" s="2" t="s">
        <v>836</v>
      </c>
      <c r="H274" s="2" t="s">
        <v>2508</v>
      </c>
      <c r="I274" s="2" t="s">
        <v>2509</v>
      </c>
      <c r="J274" s="2" t="s">
        <v>2510</v>
      </c>
      <c r="K274" s="2" t="s">
        <v>2511</v>
      </c>
      <c r="L274" s="2" t="s">
        <v>2512</v>
      </c>
      <c r="M274" s="2"/>
      <c r="N274" s="2"/>
      <c r="O274" s="2" t="s">
        <v>1466</v>
      </c>
      <c r="P274" s="2" t="s">
        <v>1467</v>
      </c>
      <c r="Q274" s="2"/>
      <c r="R274" s="3" t="n">
        <v>0.81</v>
      </c>
      <c r="S274" s="3" t="n">
        <v>1</v>
      </c>
      <c r="T274" s="3" t="n">
        <v>1.7</v>
      </c>
      <c r="U274" s="2"/>
      <c r="V274" s="2" t="s">
        <v>40</v>
      </c>
      <c r="W274" s="2" t="s">
        <v>2490</v>
      </c>
      <c r="X274" s="5" t="s">
        <v>2251</v>
      </c>
      <c r="Y274" s="2" t="n">
        <v>15760775</v>
      </c>
    </row>
    <row r="275" customFormat="false" ht="15" hidden="false" customHeight="false" outlineLevel="0" collapsed="false">
      <c r="A275" s="2" t="s">
        <v>2513</v>
      </c>
      <c r="B275" s="2" t="s">
        <v>264</v>
      </c>
      <c r="C275" s="2" t="s">
        <v>2335</v>
      </c>
      <c r="D275" s="2"/>
      <c r="E275" s="2"/>
      <c r="F275" s="2" t="s">
        <v>1487</v>
      </c>
      <c r="G275" s="2" t="s">
        <v>2514</v>
      </c>
      <c r="H275" s="2"/>
      <c r="I275" s="2" t="s">
        <v>2515</v>
      </c>
      <c r="J275" s="2"/>
      <c r="K275" s="2" t="s">
        <v>2516</v>
      </c>
      <c r="L275" s="2" t="s">
        <v>2517</v>
      </c>
      <c r="M275" s="2"/>
      <c r="N275" s="2"/>
      <c r="O275" s="2" t="s">
        <v>1466</v>
      </c>
      <c r="P275" s="2" t="s">
        <v>1467</v>
      </c>
      <c r="Q275" s="2"/>
      <c r="R275" s="3" t="n">
        <v>0.81</v>
      </c>
      <c r="S275" s="3" t="n">
        <v>1</v>
      </c>
      <c r="T275" s="3" t="n">
        <v>1.7</v>
      </c>
      <c r="U275" s="2"/>
      <c r="V275" s="2" t="s">
        <v>40</v>
      </c>
      <c r="W275" s="2" t="s">
        <v>2490</v>
      </c>
      <c r="X275" s="5" t="s">
        <v>2258</v>
      </c>
      <c r="Y275" s="2" t="n">
        <v>15760774</v>
      </c>
    </row>
    <row r="276" customFormat="false" ht="15" hidden="false" customHeight="false" outlineLevel="0" collapsed="false">
      <c r="A276" s="2" t="s">
        <v>2518</v>
      </c>
      <c r="B276" s="2" t="s">
        <v>2519</v>
      </c>
      <c r="C276" s="2" t="s">
        <v>2506</v>
      </c>
      <c r="D276" s="2" t="s">
        <v>2520</v>
      </c>
      <c r="E276" s="2"/>
      <c r="F276" s="2" t="s">
        <v>1460</v>
      </c>
      <c r="G276" s="2" t="s">
        <v>389</v>
      </c>
      <c r="H276" s="2"/>
      <c r="I276" s="2" t="s">
        <v>2521</v>
      </c>
      <c r="J276" s="2"/>
      <c r="K276" s="2" t="s">
        <v>2522</v>
      </c>
      <c r="L276" s="2" t="s">
        <v>2523</v>
      </c>
      <c r="M276" s="2"/>
      <c r="N276" s="2"/>
      <c r="O276" s="2" t="s">
        <v>1466</v>
      </c>
      <c r="P276" s="2" t="s">
        <v>1467</v>
      </c>
      <c r="Q276" s="2"/>
      <c r="R276" s="3" t="n">
        <v>0.81</v>
      </c>
      <c r="S276" s="3" t="n">
        <v>1</v>
      </c>
      <c r="T276" s="3" t="n">
        <v>1.7</v>
      </c>
      <c r="U276" s="2"/>
      <c r="V276" s="2" t="s">
        <v>40</v>
      </c>
      <c r="W276" s="2" t="s">
        <v>2490</v>
      </c>
      <c r="X276" s="5" t="s">
        <v>2251</v>
      </c>
      <c r="Y276" s="2" t="n">
        <v>15760773</v>
      </c>
    </row>
    <row r="277" customFormat="false" ht="15" hidden="false" customHeight="false" outlineLevel="0" collapsed="false">
      <c r="A277" s="2" t="s">
        <v>2524</v>
      </c>
      <c r="B277" s="2" t="s">
        <v>2525</v>
      </c>
      <c r="C277" s="2" t="s">
        <v>2526</v>
      </c>
      <c r="D277" s="2"/>
      <c r="E277" s="2"/>
      <c r="F277" s="2" t="s">
        <v>1460</v>
      </c>
      <c r="G277" s="2" t="s">
        <v>836</v>
      </c>
      <c r="H277" s="2"/>
      <c r="I277" s="2" t="s">
        <v>2527</v>
      </c>
      <c r="J277" s="2"/>
      <c r="K277" s="2" t="s">
        <v>1616</v>
      </c>
      <c r="L277" s="2" t="s">
        <v>2528</v>
      </c>
      <c r="M277" s="2"/>
      <c r="N277" s="2"/>
      <c r="O277" s="2" t="s">
        <v>1466</v>
      </c>
      <c r="P277" s="2" t="s">
        <v>1467</v>
      </c>
      <c r="Q277" s="2"/>
      <c r="R277" s="3" t="n">
        <v>0.81</v>
      </c>
      <c r="S277" s="3" t="n">
        <v>1</v>
      </c>
      <c r="T277" s="3" t="n">
        <v>1.7</v>
      </c>
      <c r="U277" s="2"/>
      <c r="V277" s="2" t="s">
        <v>40</v>
      </c>
      <c r="W277" s="2" t="s">
        <v>2490</v>
      </c>
      <c r="X277" s="5" t="s">
        <v>2258</v>
      </c>
      <c r="Y277" s="2" t="n">
        <v>15760772</v>
      </c>
    </row>
    <row r="278" customFormat="false" ht="15" hidden="false" customHeight="false" outlineLevel="0" collapsed="false">
      <c r="A278" s="2" t="s">
        <v>2529</v>
      </c>
      <c r="B278" s="2" t="s">
        <v>2530</v>
      </c>
      <c r="C278" s="2" t="s">
        <v>2335</v>
      </c>
      <c r="D278" s="2"/>
      <c r="E278" s="2"/>
      <c r="F278" s="2" t="s">
        <v>1460</v>
      </c>
      <c r="G278" s="2" t="s">
        <v>666</v>
      </c>
      <c r="H278" s="2"/>
      <c r="I278" s="2" t="s">
        <v>2531</v>
      </c>
      <c r="J278" s="2"/>
      <c r="K278" s="2" t="s">
        <v>2532</v>
      </c>
      <c r="L278" s="2" t="s">
        <v>2288</v>
      </c>
      <c r="M278" s="2"/>
      <c r="N278" s="2"/>
      <c r="O278" s="2" t="s">
        <v>1466</v>
      </c>
      <c r="P278" s="2" t="s">
        <v>1467</v>
      </c>
      <c r="Q278" s="2"/>
      <c r="R278" s="3" t="n">
        <v>0.81</v>
      </c>
      <c r="S278" s="3" t="n">
        <v>1</v>
      </c>
      <c r="T278" s="3" t="n">
        <v>1.7</v>
      </c>
      <c r="U278" s="2"/>
      <c r="V278" s="2" t="s">
        <v>40</v>
      </c>
      <c r="W278" s="2" t="s">
        <v>2490</v>
      </c>
      <c r="X278" s="5" t="s">
        <v>2251</v>
      </c>
      <c r="Y278" s="2" t="n">
        <v>15760771</v>
      </c>
    </row>
    <row r="279" customFormat="false" ht="15" hidden="false" customHeight="false" outlineLevel="0" collapsed="false">
      <c r="A279" s="2" t="s">
        <v>1919</v>
      </c>
      <c r="B279" s="2" t="s">
        <v>2533</v>
      </c>
      <c r="C279" s="2" t="s">
        <v>2534</v>
      </c>
      <c r="D279" s="2" t="s">
        <v>2535</v>
      </c>
      <c r="E279" s="2" t="s">
        <v>90</v>
      </c>
      <c r="F279" s="2" t="s">
        <v>1460</v>
      </c>
      <c r="G279" s="2" t="s">
        <v>2536</v>
      </c>
      <c r="H279" s="2" t="s">
        <v>2537</v>
      </c>
      <c r="I279" s="2" t="s">
        <v>2538</v>
      </c>
      <c r="J279" s="2" t="s">
        <v>2539</v>
      </c>
      <c r="K279" s="2" t="s">
        <v>2540</v>
      </c>
      <c r="L279" s="2" t="s">
        <v>2541</v>
      </c>
      <c r="M279" s="2"/>
      <c r="N279" s="2"/>
      <c r="O279" s="2" t="s">
        <v>1466</v>
      </c>
      <c r="P279" s="2" t="s">
        <v>1467</v>
      </c>
      <c r="Q279" s="2"/>
      <c r="R279" s="3" t="n">
        <v>0.84</v>
      </c>
      <c r="S279" s="3" t="n">
        <v>1</v>
      </c>
      <c r="T279" s="3" t="n">
        <v>1.8</v>
      </c>
      <c r="U279" s="2"/>
      <c r="V279" s="2" t="s">
        <v>40</v>
      </c>
      <c r="W279" s="2" t="s">
        <v>2490</v>
      </c>
      <c r="X279" s="5" t="s">
        <v>2258</v>
      </c>
      <c r="Y279" s="2" t="n">
        <v>15760770</v>
      </c>
    </row>
    <row r="280" customFormat="false" ht="15" hidden="false" customHeight="false" outlineLevel="0" collapsed="false">
      <c r="A280" s="2" t="s">
        <v>2542</v>
      </c>
      <c r="B280" s="2" t="s">
        <v>2543</v>
      </c>
      <c r="C280" s="2" t="s">
        <v>2544</v>
      </c>
      <c r="D280" s="2" t="s">
        <v>2545</v>
      </c>
      <c r="E280" s="2"/>
      <c r="F280" s="2" t="s">
        <v>1460</v>
      </c>
      <c r="G280" s="2" t="s">
        <v>59</v>
      </c>
      <c r="H280" s="2"/>
      <c r="I280" s="2" t="s">
        <v>2546</v>
      </c>
      <c r="J280" s="2"/>
      <c r="K280" s="2" t="s">
        <v>45</v>
      </c>
      <c r="L280" s="2" t="s">
        <v>2547</v>
      </c>
      <c r="M280" s="2"/>
      <c r="N280" s="2"/>
      <c r="O280" s="2" t="s">
        <v>1466</v>
      </c>
      <c r="P280" s="2" t="s">
        <v>1467</v>
      </c>
      <c r="Q280" s="2"/>
      <c r="R280" s="3" t="n">
        <v>0.84</v>
      </c>
      <c r="S280" s="3" t="n">
        <v>1</v>
      </c>
      <c r="T280" s="3" t="n">
        <v>1.8</v>
      </c>
      <c r="U280" s="2"/>
      <c r="V280" s="2" t="s">
        <v>40</v>
      </c>
      <c r="W280" s="2" t="s">
        <v>2490</v>
      </c>
      <c r="X280" s="5" t="s">
        <v>2251</v>
      </c>
      <c r="Y280" s="2" t="n">
        <v>15760769</v>
      </c>
    </row>
    <row r="281" customFormat="false" ht="15" hidden="false" customHeight="false" outlineLevel="0" collapsed="false">
      <c r="A281" s="2" t="s">
        <v>2548</v>
      </c>
      <c r="B281" s="2" t="s">
        <v>2549</v>
      </c>
      <c r="C281" s="2" t="s">
        <v>2496</v>
      </c>
      <c r="D281" s="2"/>
      <c r="E281" s="2"/>
      <c r="F281" s="2" t="s">
        <v>1460</v>
      </c>
      <c r="G281" s="2" t="s">
        <v>59</v>
      </c>
      <c r="H281" s="2"/>
      <c r="I281" s="2" t="s">
        <v>2550</v>
      </c>
      <c r="J281" s="2"/>
      <c r="K281" s="2" t="s">
        <v>2551</v>
      </c>
      <c r="L281" s="2" t="s">
        <v>1668</v>
      </c>
      <c r="M281" s="2"/>
      <c r="N281" s="2"/>
      <c r="O281" s="2" t="s">
        <v>1466</v>
      </c>
      <c r="P281" s="2" t="s">
        <v>1467</v>
      </c>
      <c r="Q281" s="2"/>
      <c r="R281" s="3" t="n">
        <v>0.84</v>
      </c>
      <c r="S281" s="3" t="n">
        <v>1</v>
      </c>
      <c r="T281" s="3" t="n">
        <v>1.8</v>
      </c>
      <c r="U281" s="2"/>
      <c r="V281" s="2" t="s">
        <v>40</v>
      </c>
      <c r="W281" s="2" t="s">
        <v>2490</v>
      </c>
      <c r="X281" s="5" t="s">
        <v>2258</v>
      </c>
      <c r="Y281" s="2" t="n">
        <v>15760768</v>
      </c>
    </row>
    <row r="282" customFormat="false" ht="15" hidden="false" customHeight="false" outlineLevel="0" collapsed="false">
      <c r="A282" s="2" t="s">
        <v>2552</v>
      </c>
      <c r="B282" s="2" t="s">
        <v>2553</v>
      </c>
      <c r="C282" s="2" t="s">
        <v>2554</v>
      </c>
      <c r="D282" s="2" t="s">
        <v>2545</v>
      </c>
      <c r="E282" s="2"/>
      <c r="F282" s="2" t="s">
        <v>1460</v>
      </c>
      <c r="G282" s="2" t="s">
        <v>437</v>
      </c>
      <c r="H282" s="2"/>
      <c r="I282" s="2" t="s">
        <v>2555</v>
      </c>
      <c r="J282" s="2"/>
      <c r="K282" s="2" t="s">
        <v>2556</v>
      </c>
      <c r="L282" s="2" t="s">
        <v>2557</v>
      </c>
      <c r="M282" s="2"/>
      <c r="N282" s="2"/>
      <c r="O282" s="2" t="s">
        <v>1466</v>
      </c>
      <c r="P282" s="2" t="s">
        <v>1467</v>
      </c>
      <c r="Q282" s="2"/>
      <c r="R282" s="3" t="n">
        <v>0.84</v>
      </c>
      <c r="S282" s="3" t="n">
        <v>1</v>
      </c>
      <c r="T282" s="3" t="n">
        <v>1.8</v>
      </c>
      <c r="U282" s="2"/>
      <c r="V282" s="2" t="s">
        <v>40</v>
      </c>
      <c r="W282" s="2" t="s">
        <v>2490</v>
      </c>
      <c r="X282" s="5" t="s">
        <v>2251</v>
      </c>
      <c r="Y282" s="2" t="n">
        <v>15760767</v>
      </c>
    </row>
    <row r="283" customFormat="false" ht="15" hidden="false" customHeight="false" outlineLevel="0" collapsed="false">
      <c r="A283" s="2" t="s">
        <v>2558</v>
      </c>
      <c r="B283" s="2" t="s">
        <v>2559</v>
      </c>
      <c r="C283" s="2" t="s">
        <v>2560</v>
      </c>
      <c r="D283" s="2"/>
      <c r="E283" s="2"/>
      <c r="F283" s="2" t="s">
        <v>1460</v>
      </c>
      <c r="G283" s="2" t="s">
        <v>59</v>
      </c>
      <c r="H283" s="2"/>
      <c r="I283" s="2" t="s">
        <v>2561</v>
      </c>
      <c r="J283" s="2"/>
      <c r="K283" s="2" t="s">
        <v>2562</v>
      </c>
      <c r="L283" s="2" t="s">
        <v>1476</v>
      </c>
      <c r="M283" s="2"/>
      <c r="N283" s="2"/>
      <c r="O283" s="2" t="s">
        <v>1466</v>
      </c>
      <c r="P283" s="2" t="s">
        <v>1467</v>
      </c>
      <c r="Q283" s="2"/>
      <c r="R283" s="3" t="n">
        <v>0.86</v>
      </c>
      <c r="S283" s="3" t="n">
        <v>1</v>
      </c>
      <c r="T283" s="3" t="n">
        <v>1.8</v>
      </c>
      <c r="U283" s="2"/>
      <c r="V283" s="2" t="s">
        <v>40</v>
      </c>
      <c r="W283" s="2" t="s">
        <v>2490</v>
      </c>
      <c r="X283" s="5" t="s">
        <v>2258</v>
      </c>
      <c r="Y283" s="2" t="n">
        <v>15760766</v>
      </c>
    </row>
    <row r="284" customFormat="false" ht="15" hidden="false" customHeight="false" outlineLevel="0" collapsed="false">
      <c r="A284" s="2" t="s">
        <v>283</v>
      </c>
      <c r="B284" s="2" t="s">
        <v>2563</v>
      </c>
      <c r="C284" s="2" t="s">
        <v>2487</v>
      </c>
      <c r="D284" s="2"/>
      <c r="E284" s="2"/>
      <c r="F284" s="2" t="s">
        <v>1460</v>
      </c>
      <c r="G284" s="2" t="s">
        <v>59</v>
      </c>
      <c r="H284" s="2"/>
      <c r="I284" s="2" t="s">
        <v>2564</v>
      </c>
      <c r="J284" s="2"/>
      <c r="K284" s="2" t="s">
        <v>2565</v>
      </c>
      <c r="L284" s="2" t="s">
        <v>2275</v>
      </c>
      <c r="M284" s="2"/>
      <c r="N284" s="2"/>
      <c r="O284" s="2" t="s">
        <v>1466</v>
      </c>
      <c r="P284" s="2" t="s">
        <v>1467</v>
      </c>
      <c r="Q284" s="2"/>
      <c r="R284" s="3" t="n">
        <v>0.86</v>
      </c>
      <c r="S284" s="3" t="n">
        <v>1</v>
      </c>
      <c r="T284" s="3" t="n">
        <v>1.8</v>
      </c>
      <c r="U284" s="2"/>
      <c r="V284" s="2" t="s">
        <v>40</v>
      </c>
      <c r="W284" s="2" t="s">
        <v>2490</v>
      </c>
      <c r="X284" s="5" t="s">
        <v>2251</v>
      </c>
      <c r="Y284" s="2" t="n">
        <v>15760765</v>
      </c>
    </row>
    <row r="285" customFormat="false" ht="15" hidden="false" customHeight="false" outlineLevel="0" collapsed="false">
      <c r="A285" s="2" t="s">
        <v>2036</v>
      </c>
      <c r="B285" s="2" t="s">
        <v>284</v>
      </c>
      <c r="C285" s="2" t="s">
        <v>2088</v>
      </c>
      <c r="D285" s="2"/>
      <c r="E285" s="2"/>
      <c r="F285" s="2" t="s">
        <v>1460</v>
      </c>
      <c r="G285" s="2" t="s">
        <v>1201</v>
      </c>
      <c r="H285" s="2"/>
      <c r="I285" s="2" t="s">
        <v>2566</v>
      </c>
      <c r="J285" s="2"/>
      <c r="K285" s="2" t="s">
        <v>2567</v>
      </c>
      <c r="L285" s="2" t="s">
        <v>2338</v>
      </c>
      <c r="M285" s="2"/>
      <c r="N285" s="2"/>
      <c r="O285" s="2" t="s">
        <v>1466</v>
      </c>
      <c r="P285" s="2" t="s">
        <v>1467</v>
      </c>
      <c r="Q285" s="2"/>
      <c r="R285" s="3" t="n">
        <v>0.86</v>
      </c>
      <c r="S285" s="3" t="n">
        <v>1</v>
      </c>
      <c r="T285" s="3" t="n">
        <v>1.8</v>
      </c>
      <c r="U285" s="2"/>
      <c r="V285" s="2" t="s">
        <v>40</v>
      </c>
      <c r="W285" s="2" t="s">
        <v>2490</v>
      </c>
      <c r="X285" s="5" t="s">
        <v>2258</v>
      </c>
      <c r="Y285" s="2" t="n">
        <v>15760764</v>
      </c>
    </row>
    <row r="286" customFormat="false" ht="15" hidden="false" customHeight="false" outlineLevel="0" collapsed="false">
      <c r="A286" s="2" t="s">
        <v>2568</v>
      </c>
      <c r="B286" s="2" t="s">
        <v>1780</v>
      </c>
      <c r="C286" s="2" t="s">
        <v>2095</v>
      </c>
      <c r="D286" s="2"/>
      <c r="E286" s="2"/>
      <c r="F286" s="2" t="s">
        <v>1460</v>
      </c>
      <c r="G286" s="2" t="s">
        <v>2569</v>
      </c>
      <c r="H286" s="2"/>
      <c r="I286" s="2" t="s">
        <v>2570</v>
      </c>
      <c r="J286" s="2"/>
      <c r="K286" s="2" t="s">
        <v>2571</v>
      </c>
      <c r="L286" s="2" t="s">
        <v>2572</v>
      </c>
      <c r="M286" s="2"/>
      <c r="N286" s="2"/>
      <c r="O286" s="2" t="s">
        <v>1466</v>
      </c>
      <c r="P286" s="2" t="s">
        <v>1467</v>
      </c>
      <c r="Q286" s="2"/>
      <c r="R286" s="3" t="n">
        <v>0.86</v>
      </c>
      <c r="S286" s="3" t="n">
        <v>1</v>
      </c>
      <c r="T286" s="3" t="n">
        <v>1.8</v>
      </c>
      <c r="U286" s="2"/>
      <c r="V286" s="2" t="s">
        <v>40</v>
      </c>
      <c r="W286" s="2" t="s">
        <v>2490</v>
      </c>
      <c r="X286" s="5" t="s">
        <v>2251</v>
      </c>
      <c r="Y286" s="2" t="n">
        <v>15760763</v>
      </c>
    </row>
    <row r="287" customFormat="false" ht="15" hidden="false" customHeight="false" outlineLevel="0" collapsed="false">
      <c r="A287" s="2" t="s">
        <v>2573</v>
      </c>
      <c r="B287" s="2" t="s">
        <v>2574</v>
      </c>
      <c r="C287" s="2" t="s">
        <v>2575</v>
      </c>
      <c r="D287" s="2" t="s">
        <v>2576</v>
      </c>
      <c r="E287" s="2" t="s">
        <v>255</v>
      </c>
      <c r="F287" s="2" t="s">
        <v>1460</v>
      </c>
      <c r="G287" s="2" t="s">
        <v>287</v>
      </c>
      <c r="H287" s="2" t="s">
        <v>2577</v>
      </c>
      <c r="I287" s="2" t="s">
        <v>2578</v>
      </c>
      <c r="J287" s="2" t="s">
        <v>2579</v>
      </c>
      <c r="K287" s="2" t="s">
        <v>2580</v>
      </c>
      <c r="L287" s="2" t="s">
        <v>2474</v>
      </c>
      <c r="M287" s="2"/>
      <c r="N287" s="2"/>
      <c r="O287" s="2" t="s">
        <v>1466</v>
      </c>
      <c r="P287" s="2" t="s">
        <v>1467</v>
      </c>
      <c r="Q287" s="2"/>
      <c r="R287" s="3" t="n">
        <v>0.87</v>
      </c>
      <c r="S287" s="3" t="n">
        <v>1</v>
      </c>
      <c r="T287" s="3" t="n">
        <v>1.8</v>
      </c>
      <c r="U287" s="2"/>
      <c r="V287" s="2" t="s">
        <v>40</v>
      </c>
      <c r="W287" s="2" t="s">
        <v>2490</v>
      </c>
      <c r="X287" s="5" t="s">
        <v>2258</v>
      </c>
      <c r="Y287" s="2" t="n">
        <v>15760762</v>
      </c>
    </row>
    <row r="288" customFormat="false" ht="15" hidden="false" customHeight="false" outlineLevel="0" collapsed="false">
      <c r="A288" s="2" t="s">
        <v>2581</v>
      </c>
      <c r="B288" s="2" t="s">
        <v>2582</v>
      </c>
      <c r="C288" s="2" t="s">
        <v>2583</v>
      </c>
      <c r="D288" s="2" t="s">
        <v>2584</v>
      </c>
      <c r="E288" s="2" t="s">
        <v>255</v>
      </c>
      <c r="F288" s="2" t="s">
        <v>1487</v>
      </c>
      <c r="G288" s="2" t="s">
        <v>836</v>
      </c>
      <c r="H288" s="2" t="s">
        <v>2585</v>
      </c>
      <c r="I288" s="2" t="s">
        <v>2586</v>
      </c>
      <c r="J288" s="2" t="s">
        <v>2587</v>
      </c>
      <c r="K288" s="2" t="s">
        <v>2588</v>
      </c>
      <c r="L288" s="2" t="s">
        <v>109</v>
      </c>
      <c r="M288" s="2"/>
      <c r="N288" s="2"/>
      <c r="O288" s="2" t="s">
        <v>1466</v>
      </c>
      <c r="P288" s="2" t="s">
        <v>1467</v>
      </c>
      <c r="Q288" s="2"/>
      <c r="R288" s="3" t="n">
        <v>0.95</v>
      </c>
      <c r="S288" s="3" t="n">
        <v>1</v>
      </c>
      <c r="T288" s="3" t="n">
        <v>1.9</v>
      </c>
      <c r="U288" s="2"/>
      <c r="V288" s="2" t="s">
        <v>40</v>
      </c>
      <c r="W288" s="2" t="s">
        <v>2490</v>
      </c>
      <c r="X288" s="5" t="s">
        <v>2251</v>
      </c>
      <c r="Y288" s="2" t="n">
        <v>15760760</v>
      </c>
    </row>
    <row r="289" customFormat="false" ht="15" hidden="false" customHeight="false" outlineLevel="0" collapsed="false">
      <c r="A289" s="2" t="s">
        <v>2589</v>
      </c>
      <c r="B289" s="2" t="s">
        <v>2590</v>
      </c>
      <c r="C289" s="2" t="s">
        <v>2591</v>
      </c>
      <c r="D289" s="2" t="s">
        <v>2592</v>
      </c>
      <c r="E289" s="2" t="s">
        <v>255</v>
      </c>
      <c r="F289" s="2" t="s">
        <v>165</v>
      </c>
      <c r="G289" s="2" t="s">
        <v>59</v>
      </c>
      <c r="H289" s="2" t="s">
        <v>2593</v>
      </c>
      <c r="I289" s="2" t="s">
        <v>2594</v>
      </c>
      <c r="J289" s="2" t="s">
        <v>2595</v>
      </c>
      <c r="K289" s="2" t="s">
        <v>2591</v>
      </c>
      <c r="L289" s="2" t="s">
        <v>2596</v>
      </c>
      <c r="M289" s="2"/>
      <c r="N289" s="2"/>
      <c r="O289" s="2" t="s">
        <v>1466</v>
      </c>
      <c r="P289" s="2" t="s">
        <v>1467</v>
      </c>
      <c r="Q289" s="2"/>
      <c r="R289" s="3" t="n">
        <v>0.95</v>
      </c>
      <c r="S289" s="3" t="n">
        <v>1</v>
      </c>
      <c r="T289" s="3" t="n">
        <v>1.9</v>
      </c>
      <c r="U289" s="2"/>
      <c r="V289" s="2" t="s">
        <v>40</v>
      </c>
      <c r="W289" s="2" t="s">
        <v>2490</v>
      </c>
      <c r="X289" s="5" t="s">
        <v>2258</v>
      </c>
      <c r="Y289" s="2" t="n">
        <v>15760756</v>
      </c>
    </row>
    <row r="290" customFormat="false" ht="15" hidden="false" customHeight="false" outlineLevel="0" collapsed="false">
      <c r="A290" s="2" t="s">
        <v>2054</v>
      </c>
      <c r="B290" s="2" t="s">
        <v>2597</v>
      </c>
      <c r="C290" s="2" t="s">
        <v>2598</v>
      </c>
      <c r="D290" s="2" t="s">
        <v>2599</v>
      </c>
      <c r="E290" s="2" t="s">
        <v>29</v>
      </c>
      <c r="F290" s="2" t="s">
        <v>30</v>
      </c>
      <c r="G290" s="2" t="s">
        <v>448</v>
      </c>
      <c r="H290" s="2" t="s">
        <v>2600</v>
      </c>
      <c r="I290" s="2" t="s">
        <v>2601</v>
      </c>
      <c r="J290" s="2" t="s">
        <v>2602</v>
      </c>
      <c r="K290" s="2" t="s">
        <v>2603</v>
      </c>
      <c r="L290" s="2" t="s">
        <v>2604</v>
      </c>
      <c r="M290" s="2"/>
      <c r="N290" s="2"/>
      <c r="O290" s="2" t="s">
        <v>1440</v>
      </c>
      <c r="P290" s="2" t="s">
        <v>2605</v>
      </c>
      <c r="Q290" s="2" t="s">
        <v>2606</v>
      </c>
      <c r="R290" s="3" t="n">
        <v>0.8</v>
      </c>
      <c r="S290" s="3" t="n">
        <v>1.5</v>
      </c>
      <c r="T290" s="3" t="n">
        <v>2</v>
      </c>
      <c r="U290" s="2" t="s">
        <v>2607</v>
      </c>
      <c r="V290" s="2" t="s">
        <v>40</v>
      </c>
      <c r="W290" s="2" t="s">
        <v>2608</v>
      </c>
      <c r="X290" s="5" t="s">
        <v>2251</v>
      </c>
      <c r="Y290" s="2" t="n">
        <v>15733452</v>
      </c>
    </row>
    <row r="291" customFormat="false" ht="15" hidden="false" customHeight="false" outlineLevel="0" collapsed="false">
      <c r="A291" s="2" t="s">
        <v>2609</v>
      </c>
      <c r="B291" s="2" t="s">
        <v>2610</v>
      </c>
      <c r="C291" s="2" t="s">
        <v>2611</v>
      </c>
      <c r="D291" s="2" t="s">
        <v>2612</v>
      </c>
      <c r="E291" s="2" t="s">
        <v>90</v>
      </c>
      <c r="F291" s="2" t="s">
        <v>1772</v>
      </c>
      <c r="G291" s="2" t="s">
        <v>2153</v>
      </c>
      <c r="H291" s="2" t="s">
        <v>2613</v>
      </c>
      <c r="I291" s="2" t="s">
        <v>2614</v>
      </c>
      <c r="J291" s="2" t="s">
        <v>2615</v>
      </c>
      <c r="K291" s="2" t="s">
        <v>2616</v>
      </c>
      <c r="L291" s="2" t="s">
        <v>2617</v>
      </c>
      <c r="M291" s="2"/>
      <c r="N291" s="2"/>
      <c r="O291" s="2" t="s">
        <v>1440</v>
      </c>
      <c r="P291" s="2" t="s">
        <v>2618</v>
      </c>
      <c r="Q291" s="2" t="s">
        <v>2606</v>
      </c>
      <c r="R291" s="3" t="n">
        <v>0.81</v>
      </c>
      <c r="S291" s="3" t="n">
        <v>1.5</v>
      </c>
      <c r="T291" s="3" t="n">
        <v>2</v>
      </c>
      <c r="U291" s="2" t="s">
        <v>2619</v>
      </c>
      <c r="V291" s="2" t="s">
        <v>40</v>
      </c>
      <c r="W291" s="2" t="s">
        <v>2608</v>
      </c>
      <c r="X291" s="5" t="s">
        <v>2258</v>
      </c>
      <c r="Y291" s="2" t="n">
        <v>15733446</v>
      </c>
    </row>
    <row r="292" customFormat="false" ht="15" hidden="false" customHeight="false" outlineLevel="0" collapsed="false">
      <c r="A292" s="2" t="s">
        <v>2620</v>
      </c>
      <c r="B292" s="2" t="s">
        <v>2621</v>
      </c>
      <c r="C292" s="2" t="s">
        <v>2622</v>
      </c>
      <c r="D292" s="2" t="s">
        <v>2623</v>
      </c>
      <c r="E292" s="2" t="s">
        <v>47</v>
      </c>
      <c r="F292" s="2" t="s">
        <v>48</v>
      </c>
      <c r="G292" s="2" t="s">
        <v>287</v>
      </c>
      <c r="H292" s="2" t="s">
        <v>2624</v>
      </c>
      <c r="I292" s="2" t="s">
        <v>2625</v>
      </c>
      <c r="J292" s="2" t="s">
        <v>2626</v>
      </c>
      <c r="K292" s="2" t="s">
        <v>2627</v>
      </c>
      <c r="L292" s="2" t="s">
        <v>2628</v>
      </c>
      <c r="M292" s="2"/>
      <c r="N292" s="2"/>
      <c r="O292" s="2" t="s">
        <v>1440</v>
      </c>
      <c r="P292" s="2" t="s">
        <v>2629</v>
      </c>
      <c r="Q292" s="2" t="s">
        <v>2606</v>
      </c>
      <c r="R292" s="3" t="n">
        <v>0.82</v>
      </c>
      <c r="S292" s="3" t="n">
        <v>1.1</v>
      </c>
      <c r="T292" s="3" t="n">
        <v>1.8</v>
      </c>
      <c r="U292" s="2" t="s">
        <v>2630</v>
      </c>
      <c r="V292" s="2" t="s">
        <v>40</v>
      </c>
      <c r="W292" s="2" t="s">
        <v>2608</v>
      </c>
      <c r="X292" s="5" t="s">
        <v>2251</v>
      </c>
      <c r="Y292" s="2" t="n">
        <v>15733439</v>
      </c>
    </row>
    <row r="293" customFormat="false" ht="15" hidden="false" customHeight="false" outlineLevel="0" collapsed="false">
      <c r="A293" s="2" t="s">
        <v>2631</v>
      </c>
      <c r="B293" s="2" t="s">
        <v>2632</v>
      </c>
      <c r="C293" s="2" t="s">
        <v>2233</v>
      </c>
      <c r="D293" s="2" t="s">
        <v>2633</v>
      </c>
      <c r="E293" s="2" t="s">
        <v>103</v>
      </c>
      <c r="F293" s="2" t="s">
        <v>1487</v>
      </c>
      <c r="G293" s="2" t="s">
        <v>2634</v>
      </c>
      <c r="H293" s="2" t="s">
        <v>2635</v>
      </c>
      <c r="I293" s="2" t="s">
        <v>2636</v>
      </c>
      <c r="J293" s="2" t="s">
        <v>2637</v>
      </c>
      <c r="K293" s="2" t="s">
        <v>2638</v>
      </c>
      <c r="L293" s="2" t="s">
        <v>2639</v>
      </c>
      <c r="M293" s="2"/>
      <c r="N293" s="2"/>
      <c r="O293" s="2" t="s">
        <v>1440</v>
      </c>
      <c r="P293" s="2" t="s">
        <v>2640</v>
      </c>
      <c r="Q293" s="2" t="s">
        <v>2641</v>
      </c>
      <c r="R293" s="3" t="n">
        <v>0.88</v>
      </c>
      <c r="S293" s="3" t="n">
        <v>1.1</v>
      </c>
      <c r="T293" s="3" t="n">
        <v>1.9</v>
      </c>
      <c r="U293" s="2" t="s">
        <v>2642</v>
      </c>
      <c r="V293" s="2" t="s">
        <v>40</v>
      </c>
      <c r="W293" s="2" t="s">
        <v>2643</v>
      </c>
      <c r="X293" s="5" t="s">
        <v>2258</v>
      </c>
      <c r="Y293" s="2" t="n">
        <v>15674884</v>
      </c>
    </row>
    <row r="294" customFormat="false" ht="15" hidden="false" customHeight="false" outlineLevel="0" collapsed="false">
      <c r="A294" s="2" t="s">
        <v>2644</v>
      </c>
      <c r="B294" s="2" t="s">
        <v>2645</v>
      </c>
      <c r="C294" s="2" t="s">
        <v>2646</v>
      </c>
      <c r="D294" s="2" t="s">
        <v>2647</v>
      </c>
      <c r="E294" s="2" t="s">
        <v>255</v>
      </c>
      <c r="F294" s="2" t="s">
        <v>165</v>
      </c>
      <c r="G294" s="2" t="s">
        <v>2648</v>
      </c>
      <c r="H294" s="2"/>
      <c r="I294" s="2" t="s">
        <v>2649</v>
      </c>
      <c r="J294" s="2" t="s">
        <v>2650</v>
      </c>
      <c r="K294" s="2" t="s">
        <v>2651</v>
      </c>
      <c r="L294" s="2" t="s">
        <v>2652</v>
      </c>
      <c r="M294" s="2"/>
      <c r="N294" s="2"/>
      <c r="O294" s="2" t="s">
        <v>1440</v>
      </c>
      <c r="P294" s="2" t="s">
        <v>2653</v>
      </c>
      <c r="Q294" s="2" t="s">
        <v>2654</v>
      </c>
      <c r="R294" s="3" t="n">
        <v>0.9</v>
      </c>
      <c r="S294" s="3" t="n">
        <v>1.1</v>
      </c>
      <c r="T294" s="3" t="n">
        <v>1.9</v>
      </c>
      <c r="U294" s="2" t="s">
        <v>2655</v>
      </c>
      <c r="V294" s="2" t="s">
        <v>40</v>
      </c>
      <c r="W294" s="2" t="s">
        <v>2656</v>
      </c>
      <c r="X294" s="5" t="s">
        <v>2251</v>
      </c>
      <c r="Y294" s="2" t="n">
        <v>15656700</v>
      </c>
    </row>
    <row r="295" customFormat="false" ht="15" hidden="false" customHeight="false" outlineLevel="0" collapsed="false">
      <c r="A295" s="2" t="s">
        <v>2657</v>
      </c>
      <c r="B295" s="2" t="s">
        <v>2658</v>
      </c>
      <c r="C295" s="2" t="s">
        <v>494</v>
      </c>
      <c r="D295" s="2" t="s">
        <v>2659</v>
      </c>
      <c r="E295" s="2" t="s">
        <v>58</v>
      </c>
      <c r="F295" s="2" t="s">
        <v>1983</v>
      </c>
      <c r="G295" s="2" t="s">
        <v>2660</v>
      </c>
      <c r="H295" s="2" t="s">
        <v>2661</v>
      </c>
      <c r="I295" s="2" t="s">
        <v>2662</v>
      </c>
      <c r="J295" s="2" t="s">
        <v>2663</v>
      </c>
      <c r="K295" s="2" t="s">
        <v>2664</v>
      </c>
      <c r="L295" s="2" t="s">
        <v>862</v>
      </c>
      <c r="M295" s="2"/>
      <c r="N295" s="2"/>
      <c r="O295" s="2" t="s">
        <v>2665</v>
      </c>
      <c r="P295" s="2" t="s">
        <v>2666</v>
      </c>
      <c r="Q295" s="2" t="s">
        <v>2667</v>
      </c>
      <c r="R295" s="3" t="n">
        <v>0.81</v>
      </c>
      <c r="S295" s="3" t="n">
        <v>1.5</v>
      </c>
      <c r="T295" s="3" t="n">
        <v>2</v>
      </c>
      <c r="U295" s="2" t="s">
        <v>2668</v>
      </c>
      <c r="V295" s="2" t="s">
        <v>40</v>
      </c>
      <c r="W295" s="2" t="s">
        <v>2669</v>
      </c>
      <c r="X295" s="5" t="s">
        <v>2258</v>
      </c>
      <c r="Y295" s="2" t="n">
        <v>15596764</v>
      </c>
    </row>
    <row r="296" customFormat="false" ht="15" hidden="false" customHeight="false" outlineLevel="0" collapsed="false">
      <c r="A296" s="2" t="s">
        <v>636</v>
      </c>
      <c r="B296" s="2" t="s">
        <v>2670</v>
      </c>
      <c r="C296" s="2" t="s">
        <v>2671</v>
      </c>
      <c r="D296" s="2" t="s">
        <v>2672</v>
      </c>
      <c r="E296" s="2" t="s">
        <v>103</v>
      </c>
      <c r="F296" s="2" t="s">
        <v>1782</v>
      </c>
      <c r="G296" s="2" t="s">
        <v>2279</v>
      </c>
      <c r="H296" s="2" t="s">
        <v>2673</v>
      </c>
      <c r="I296" s="2" t="s">
        <v>2674</v>
      </c>
      <c r="J296" s="2" t="s">
        <v>2675</v>
      </c>
      <c r="K296" s="2" t="s">
        <v>2676</v>
      </c>
      <c r="L296" s="2" t="s">
        <v>2677</v>
      </c>
      <c r="M296" s="2"/>
      <c r="N296" s="2"/>
      <c r="O296" s="2" t="s">
        <v>2665</v>
      </c>
      <c r="P296" s="2" t="s">
        <v>2678</v>
      </c>
      <c r="Q296" s="2" t="s">
        <v>2667</v>
      </c>
      <c r="R296" s="3" t="n">
        <v>0.85</v>
      </c>
      <c r="S296" s="3" t="n">
        <v>1.1</v>
      </c>
      <c r="T296" s="3" t="n">
        <v>1.8</v>
      </c>
      <c r="U296" s="2" t="s">
        <v>2679</v>
      </c>
      <c r="V296" s="2" t="s">
        <v>40</v>
      </c>
      <c r="W296" s="2" t="s">
        <v>2669</v>
      </c>
      <c r="X296" s="5" t="s">
        <v>2251</v>
      </c>
      <c r="Y296" s="2" t="n">
        <v>15596758</v>
      </c>
    </row>
    <row r="297" customFormat="false" ht="15" hidden="false" customHeight="false" outlineLevel="0" collapsed="false">
      <c r="A297" s="2" t="s">
        <v>2680</v>
      </c>
      <c r="B297" s="2" t="s">
        <v>2681</v>
      </c>
      <c r="C297" s="2" t="s">
        <v>2682</v>
      </c>
      <c r="D297" s="2"/>
      <c r="E297" s="2"/>
      <c r="F297" s="2" t="s">
        <v>1460</v>
      </c>
      <c r="G297" s="2" t="s">
        <v>2683</v>
      </c>
      <c r="H297" s="2"/>
      <c r="I297" s="2" t="s">
        <v>2684</v>
      </c>
      <c r="J297" s="2"/>
      <c r="K297" s="2" t="s">
        <v>2685</v>
      </c>
      <c r="L297" s="2" t="s">
        <v>1743</v>
      </c>
      <c r="M297" s="2"/>
      <c r="N297" s="2"/>
      <c r="O297" s="2" t="s">
        <v>1466</v>
      </c>
      <c r="P297" s="2" t="s">
        <v>1467</v>
      </c>
      <c r="Q297" s="2"/>
      <c r="R297" s="3" t="n">
        <v>0.81</v>
      </c>
      <c r="S297" s="3" t="n">
        <v>1</v>
      </c>
      <c r="T297" s="3" t="n">
        <v>1.7</v>
      </c>
      <c r="U297" s="2"/>
      <c r="V297" s="2" t="s">
        <v>40</v>
      </c>
      <c r="W297" s="2" t="s">
        <v>2686</v>
      </c>
      <c r="X297" s="5" t="s">
        <v>2258</v>
      </c>
      <c r="Y297" s="2" t="n">
        <v>15591320</v>
      </c>
    </row>
    <row r="298" customFormat="false" ht="15" hidden="false" customHeight="false" outlineLevel="0" collapsed="false">
      <c r="A298" s="2" t="s">
        <v>1430</v>
      </c>
      <c r="B298" s="2" t="s">
        <v>2687</v>
      </c>
      <c r="C298" s="2" t="s">
        <v>2357</v>
      </c>
      <c r="D298" s="2" t="s">
        <v>2103</v>
      </c>
      <c r="E298" s="2"/>
      <c r="F298" s="2" t="s">
        <v>1460</v>
      </c>
      <c r="G298" s="2" t="s">
        <v>2688</v>
      </c>
      <c r="H298" s="2"/>
      <c r="I298" s="2" t="s">
        <v>2689</v>
      </c>
      <c r="J298" s="2"/>
      <c r="K298" s="2" t="s">
        <v>2690</v>
      </c>
      <c r="L298" s="2" t="s">
        <v>1743</v>
      </c>
      <c r="M298" s="2"/>
      <c r="N298" s="2"/>
      <c r="O298" s="2" t="s">
        <v>1466</v>
      </c>
      <c r="P298" s="2" t="s">
        <v>1467</v>
      </c>
      <c r="Q298" s="2"/>
      <c r="R298" s="3" t="n">
        <v>0.81</v>
      </c>
      <c r="S298" s="3" t="n">
        <v>1</v>
      </c>
      <c r="T298" s="3" t="n">
        <v>1.7</v>
      </c>
      <c r="U298" s="2"/>
      <c r="V298" s="2" t="s">
        <v>40</v>
      </c>
      <c r="W298" s="2" t="s">
        <v>2686</v>
      </c>
      <c r="X298" s="5" t="s">
        <v>2251</v>
      </c>
      <c r="Y298" s="2" t="n">
        <v>15591319</v>
      </c>
    </row>
    <row r="299" customFormat="false" ht="15" hidden="false" customHeight="false" outlineLevel="0" collapsed="false">
      <c r="A299" s="2" t="s">
        <v>2691</v>
      </c>
      <c r="B299" s="2" t="s">
        <v>2692</v>
      </c>
      <c r="C299" s="2" t="s">
        <v>2544</v>
      </c>
      <c r="D299" s="2"/>
      <c r="E299" s="2"/>
      <c r="F299" s="2" t="s">
        <v>1460</v>
      </c>
      <c r="G299" s="2" t="s">
        <v>2353</v>
      </c>
      <c r="H299" s="2"/>
      <c r="I299" s="2" t="s">
        <v>2693</v>
      </c>
      <c r="J299" s="2"/>
      <c r="K299" s="2" t="s">
        <v>2694</v>
      </c>
      <c r="L299" s="2" t="s">
        <v>1026</v>
      </c>
      <c r="M299" s="2"/>
      <c r="N299" s="2"/>
      <c r="O299" s="2" t="s">
        <v>1466</v>
      </c>
      <c r="P299" s="2" t="s">
        <v>1467</v>
      </c>
      <c r="Q299" s="2"/>
      <c r="R299" s="3" t="n">
        <v>0.81</v>
      </c>
      <c r="S299" s="3" t="n">
        <v>1</v>
      </c>
      <c r="T299" s="3" t="n">
        <v>1.7</v>
      </c>
      <c r="U299" s="2"/>
      <c r="V299" s="2" t="s">
        <v>40</v>
      </c>
      <c r="W299" s="2" t="s">
        <v>2686</v>
      </c>
      <c r="X299" s="5" t="s">
        <v>2258</v>
      </c>
      <c r="Y299" s="2" t="n">
        <v>15591318</v>
      </c>
    </row>
    <row r="300" customFormat="false" ht="15" hidden="false" customHeight="false" outlineLevel="0" collapsed="false">
      <c r="A300" s="2" t="s">
        <v>423</v>
      </c>
      <c r="B300" s="2" t="s">
        <v>2695</v>
      </c>
      <c r="C300" s="2" t="s">
        <v>2088</v>
      </c>
      <c r="D300" s="2" t="s">
        <v>2696</v>
      </c>
      <c r="E300" s="2"/>
      <c r="F300" s="2" t="s">
        <v>1460</v>
      </c>
      <c r="G300" s="2" t="s">
        <v>59</v>
      </c>
      <c r="H300" s="2"/>
      <c r="I300" s="2" t="s">
        <v>2697</v>
      </c>
      <c r="J300" s="2"/>
      <c r="K300" s="2" t="s">
        <v>2698</v>
      </c>
      <c r="L300" s="2" t="s">
        <v>238</v>
      </c>
      <c r="M300" s="2"/>
      <c r="N300" s="2"/>
      <c r="O300" s="2" t="s">
        <v>1466</v>
      </c>
      <c r="P300" s="2" t="s">
        <v>1467</v>
      </c>
      <c r="Q300" s="2"/>
      <c r="R300" s="3" t="n">
        <v>0.81</v>
      </c>
      <c r="S300" s="3" t="n">
        <v>1</v>
      </c>
      <c r="T300" s="3" t="n">
        <v>1.7</v>
      </c>
      <c r="U300" s="2"/>
      <c r="V300" s="2" t="s">
        <v>40</v>
      </c>
      <c r="W300" s="2" t="s">
        <v>2686</v>
      </c>
      <c r="X300" s="5" t="s">
        <v>2251</v>
      </c>
      <c r="Y300" s="2" t="n">
        <v>15591317</v>
      </c>
    </row>
    <row r="301" customFormat="false" ht="15" hidden="false" customHeight="false" outlineLevel="0" collapsed="false">
      <c r="A301" s="2" t="s">
        <v>2699</v>
      </c>
      <c r="B301" s="2" t="s">
        <v>2700</v>
      </c>
      <c r="C301" s="2" t="s">
        <v>2095</v>
      </c>
      <c r="D301" s="2"/>
      <c r="E301" s="2"/>
      <c r="F301" s="2" t="s">
        <v>1460</v>
      </c>
      <c r="G301" s="2" t="s">
        <v>2701</v>
      </c>
      <c r="H301" s="2"/>
      <c r="I301" s="2" t="s">
        <v>2702</v>
      </c>
      <c r="J301" s="2"/>
      <c r="K301" s="2" t="s">
        <v>2496</v>
      </c>
      <c r="L301" s="2" t="s">
        <v>2703</v>
      </c>
      <c r="M301" s="2"/>
      <c r="N301" s="2"/>
      <c r="O301" s="2" t="s">
        <v>1466</v>
      </c>
      <c r="P301" s="2" t="s">
        <v>1467</v>
      </c>
      <c r="Q301" s="2"/>
      <c r="R301" s="3" t="n">
        <v>0.81</v>
      </c>
      <c r="S301" s="3" t="n">
        <v>1</v>
      </c>
      <c r="T301" s="3" t="n">
        <v>1.7</v>
      </c>
      <c r="U301" s="2"/>
      <c r="V301" s="2" t="s">
        <v>40</v>
      </c>
      <c r="W301" s="2" t="s">
        <v>2686</v>
      </c>
      <c r="X301" s="5" t="s">
        <v>2258</v>
      </c>
      <c r="Y301" s="2" t="n">
        <v>15591316</v>
      </c>
    </row>
    <row r="302" customFormat="false" ht="15" hidden="false" customHeight="false" outlineLevel="0" collapsed="false">
      <c r="A302" s="2" t="s">
        <v>2704</v>
      </c>
      <c r="B302" s="2" t="s">
        <v>2705</v>
      </c>
      <c r="C302" s="2" t="s">
        <v>2088</v>
      </c>
      <c r="D302" s="2" t="s">
        <v>2545</v>
      </c>
      <c r="E302" s="2"/>
      <c r="F302" s="2" t="s">
        <v>1460</v>
      </c>
      <c r="G302" s="2" t="s">
        <v>2706</v>
      </c>
      <c r="H302" s="2"/>
      <c r="I302" s="2" t="s">
        <v>2707</v>
      </c>
      <c r="J302" s="2"/>
      <c r="K302" s="6" t="s">
        <v>2708</v>
      </c>
      <c r="L302" s="2" t="s">
        <v>2709</v>
      </c>
      <c r="M302" s="2"/>
      <c r="N302" s="2"/>
      <c r="O302" s="2" t="s">
        <v>1466</v>
      </c>
      <c r="P302" s="2" t="s">
        <v>1467</v>
      </c>
      <c r="Q302" s="2"/>
      <c r="R302" s="3" t="n">
        <v>0.81</v>
      </c>
      <c r="S302" s="3" t="n">
        <v>1</v>
      </c>
      <c r="T302" s="3" t="n">
        <v>1.7</v>
      </c>
      <c r="U302" s="2"/>
      <c r="V302" s="2" t="s">
        <v>40</v>
      </c>
      <c r="W302" s="2" t="s">
        <v>2686</v>
      </c>
      <c r="X302" s="5" t="s">
        <v>2251</v>
      </c>
      <c r="Y302" s="2" t="n">
        <v>15591315</v>
      </c>
    </row>
    <row r="303" customFormat="false" ht="15" hidden="false" customHeight="false" outlineLevel="0" collapsed="false">
      <c r="A303" s="2" t="s">
        <v>2710</v>
      </c>
      <c r="B303" s="2" t="s">
        <v>2711</v>
      </c>
      <c r="C303" s="2" t="s">
        <v>2712</v>
      </c>
      <c r="D303" s="2"/>
      <c r="E303" s="2"/>
      <c r="F303" s="2" t="s">
        <v>1460</v>
      </c>
      <c r="G303" s="2" t="s">
        <v>1201</v>
      </c>
      <c r="H303" s="2"/>
      <c r="I303" s="2" t="s">
        <v>2713</v>
      </c>
      <c r="J303" s="2"/>
      <c r="K303" s="2" t="s">
        <v>2714</v>
      </c>
      <c r="L303" s="2" t="s">
        <v>2715</v>
      </c>
      <c r="M303" s="2"/>
      <c r="N303" s="2"/>
      <c r="O303" s="2" t="s">
        <v>1466</v>
      </c>
      <c r="P303" s="2" t="s">
        <v>1467</v>
      </c>
      <c r="Q303" s="2"/>
      <c r="R303" s="3" t="n">
        <v>0.81</v>
      </c>
      <c r="S303" s="3" t="n">
        <v>1</v>
      </c>
      <c r="T303" s="3" t="n">
        <v>1.7</v>
      </c>
      <c r="U303" s="2"/>
      <c r="V303" s="2" t="s">
        <v>40</v>
      </c>
      <c r="W303" s="2" t="s">
        <v>2686</v>
      </c>
      <c r="X303" s="5" t="s">
        <v>2258</v>
      </c>
      <c r="Y303" s="2" t="n">
        <v>15591314</v>
      </c>
    </row>
    <row r="304" customFormat="false" ht="15" hidden="false" customHeight="false" outlineLevel="0" collapsed="false">
      <c r="A304" s="2" t="s">
        <v>2716</v>
      </c>
      <c r="B304" s="2" t="s">
        <v>2717</v>
      </c>
      <c r="C304" s="2" t="s">
        <v>2544</v>
      </c>
      <c r="D304" s="2" t="s">
        <v>2718</v>
      </c>
      <c r="E304" s="2"/>
      <c r="F304" s="2" t="s">
        <v>1460</v>
      </c>
      <c r="G304" s="2" t="s">
        <v>2105</v>
      </c>
      <c r="H304" s="2"/>
      <c r="I304" s="2" t="s">
        <v>2719</v>
      </c>
      <c r="J304" s="2"/>
      <c r="K304" s="2" t="s">
        <v>2720</v>
      </c>
      <c r="L304" s="2" t="s">
        <v>2721</v>
      </c>
      <c r="M304" s="2"/>
      <c r="N304" s="2"/>
      <c r="O304" s="2" t="s">
        <v>1466</v>
      </c>
      <c r="P304" s="2" t="s">
        <v>1467</v>
      </c>
      <c r="Q304" s="2"/>
      <c r="R304" s="3" t="n">
        <v>0.84</v>
      </c>
      <c r="S304" s="3" t="n">
        <v>1</v>
      </c>
      <c r="T304" s="3" t="n">
        <v>1.8</v>
      </c>
      <c r="U304" s="2"/>
      <c r="V304" s="2" t="s">
        <v>40</v>
      </c>
      <c r="W304" s="2" t="s">
        <v>2686</v>
      </c>
      <c r="X304" s="5" t="s">
        <v>2251</v>
      </c>
      <c r="Y304" s="2" t="n">
        <v>15591313</v>
      </c>
    </row>
    <row r="305" customFormat="false" ht="15" hidden="false" customHeight="false" outlineLevel="0" collapsed="false">
      <c r="A305" s="2" t="s">
        <v>2722</v>
      </c>
      <c r="B305" s="2" t="s">
        <v>2723</v>
      </c>
      <c r="C305" s="2" t="s">
        <v>2544</v>
      </c>
      <c r="D305" s="2" t="s">
        <v>2724</v>
      </c>
      <c r="E305" s="2"/>
      <c r="F305" s="2" t="s">
        <v>1460</v>
      </c>
      <c r="G305" s="2" t="s">
        <v>544</v>
      </c>
      <c r="H305" s="2"/>
      <c r="I305" s="2" t="s">
        <v>2725</v>
      </c>
      <c r="J305" s="2"/>
      <c r="K305" s="2" t="s">
        <v>2726</v>
      </c>
      <c r="L305" s="2" t="s">
        <v>1777</v>
      </c>
      <c r="M305" s="2"/>
      <c r="N305" s="2"/>
      <c r="O305" s="2" t="s">
        <v>1466</v>
      </c>
      <c r="P305" s="2" t="s">
        <v>1467</v>
      </c>
      <c r="Q305" s="2"/>
      <c r="R305" s="3" t="n">
        <v>0.84</v>
      </c>
      <c r="S305" s="3" t="n">
        <v>1</v>
      </c>
      <c r="T305" s="3" t="n">
        <v>1.8</v>
      </c>
      <c r="U305" s="2"/>
      <c r="V305" s="2" t="s">
        <v>40</v>
      </c>
      <c r="W305" s="2" t="s">
        <v>2686</v>
      </c>
      <c r="X305" s="5" t="s">
        <v>2258</v>
      </c>
      <c r="Y305" s="2" t="n">
        <v>15591312</v>
      </c>
    </row>
    <row r="306" customFormat="false" ht="15" hidden="false" customHeight="false" outlineLevel="0" collapsed="false">
      <c r="A306" s="2" t="s">
        <v>2727</v>
      </c>
      <c r="B306" s="2" t="s">
        <v>2728</v>
      </c>
      <c r="C306" s="2" t="s">
        <v>2729</v>
      </c>
      <c r="D306" s="2" t="s">
        <v>2730</v>
      </c>
      <c r="E306" s="2"/>
      <c r="F306" s="2" t="s">
        <v>1460</v>
      </c>
      <c r="G306" s="2" t="s">
        <v>878</v>
      </c>
      <c r="H306" s="2"/>
      <c r="I306" s="2" t="s">
        <v>2731</v>
      </c>
      <c r="J306" s="2"/>
      <c r="K306" s="2" t="s">
        <v>2732</v>
      </c>
      <c r="L306" s="2" t="s">
        <v>2733</v>
      </c>
      <c r="M306" s="2"/>
      <c r="N306" s="2"/>
      <c r="O306" s="2" t="s">
        <v>1466</v>
      </c>
      <c r="P306" s="2" t="s">
        <v>1467</v>
      </c>
      <c r="Q306" s="2"/>
      <c r="R306" s="3" t="n">
        <v>0.84</v>
      </c>
      <c r="S306" s="3" t="n">
        <v>1</v>
      </c>
      <c r="T306" s="3" t="n">
        <v>1.8</v>
      </c>
      <c r="U306" s="2"/>
      <c r="V306" s="2" t="s">
        <v>40</v>
      </c>
      <c r="W306" s="2" t="s">
        <v>2686</v>
      </c>
      <c r="X306" s="5" t="s">
        <v>2251</v>
      </c>
      <c r="Y306" s="2" t="n">
        <v>15591311</v>
      </c>
    </row>
    <row r="307" customFormat="false" ht="15" hidden="false" customHeight="false" outlineLevel="0" collapsed="false">
      <c r="A307" s="2" t="s">
        <v>2734</v>
      </c>
      <c r="B307" s="2" t="s">
        <v>2735</v>
      </c>
      <c r="C307" s="2" t="s">
        <v>2088</v>
      </c>
      <c r="D307" s="2" t="s">
        <v>2736</v>
      </c>
      <c r="E307" s="2"/>
      <c r="F307" s="2" t="s">
        <v>1460</v>
      </c>
      <c r="G307" s="2" t="s">
        <v>836</v>
      </c>
      <c r="H307" s="2"/>
      <c r="I307" s="2" t="s">
        <v>2737</v>
      </c>
      <c r="J307" s="2"/>
      <c r="K307" s="2" t="s">
        <v>2738</v>
      </c>
      <c r="L307" s="2" t="s">
        <v>2344</v>
      </c>
      <c r="M307" s="2"/>
      <c r="N307" s="2"/>
      <c r="O307" s="2" t="s">
        <v>1466</v>
      </c>
      <c r="P307" s="2" t="s">
        <v>1467</v>
      </c>
      <c r="Q307" s="2"/>
      <c r="R307" s="3" t="n">
        <v>0.84</v>
      </c>
      <c r="S307" s="3" t="n">
        <v>1</v>
      </c>
      <c r="T307" s="3" t="n">
        <v>1.8</v>
      </c>
      <c r="U307" s="2"/>
      <c r="V307" s="2" t="s">
        <v>40</v>
      </c>
      <c r="W307" s="2" t="s">
        <v>2686</v>
      </c>
      <c r="X307" s="5" t="s">
        <v>2258</v>
      </c>
      <c r="Y307" s="2" t="n">
        <v>15591310</v>
      </c>
    </row>
    <row r="308" customFormat="false" ht="15" hidden="false" customHeight="false" outlineLevel="0" collapsed="false">
      <c r="A308" s="2" t="s">
        <v>2739</v>
      </c>
      <c r="B308" s="2" t="s">
        <v>2740</v>
      </c>
      <c r="C308" s="2" t="s">
        <v>2088</v>
      </c>
      <c r="D308" s="2" t="s">
        <v>2741</v>
      </c>
      <c r="E308" s="2"/>
      <c r="F308" s="2" t="s">
        <v>1460</v>
      </c>
      <c r="G308" s="2" t="s">
        <v>2742</v>
      </c>
      <c r="H308" s="2"/>
      <c r="I308" s="2" t="s">
        <v>2743</v>
      </c>
      <c r="J308" s="2"/>
      <c r="K308" s="2" t="s">
        <v>2744</v>
      </c>
      <c r="L308" s="2" t="s">
        <v>1743</v>
      </c>
      <c r="M308" s="2"/>
      <c r="N308" s="2"/>
      <c r="O308" s="2" t="s">
        <v>1466</v>
      </c>
      <c r="P308" s="2" t="s">
        <v>1467</v>
      </c>
      <c r="Q308" s="2"/>
      <c r="R308" s="3" t="n">
        <v>0.84</v>
      </c>
      <c r="S308" s="3" t="n">
        <v>1</v>
      </c>
      <c r="T308" s="3" t="n">
        <v>1.8</v>
      </c>
      <c r="U308" s="2"/>
      <c r="V308" s="2" t="s">
        <v>40</v>
      </c>
      <c r="W308" s="2" t="s">
        <v>2686</v>
      </c>
      <c r="X308" s="5" t="s">
        <v>2251</v>
      </c>
      <c r="Y308" s="2" t="n">
        <v>15591309</v>
      </c>
    </row>
    <row r="309" customFormat="false" ht="15" hidden="false" customHeight="false" outlineLevel="0" collapsed="false">
      <c r="A309" s="2" t="s">
        <v>2745</v>
      </c>
      <c r="B309" s="2" t="s">
        <v>2746</v>
      </c>
      <c r="C309" s="2" t="s">
        <v>2095</v>
      </c>
      <c r="D309" s="2" t="s">
        <v>2747</v>
      </c>
      <c r="E309" s="2"/>
      <c r="F309" s="2" t="s">
        <v>1460</v>
      </c>
      <c r="G309" s="2" t="s">
        <v>287</v>
      </c>
      <c r="H309" s="2"/>
      <c r="I309" s="2" t="s">
        <v>2748</v>
      </c>
      <c r="J309" s="2"/>
      <c r="K309" s="2" t="s">
        <v>2749</v>
      </c>
      <c r="L309" s="2" t="s">
        <v>2750</v>
      </c>
      <c r="M309" s="2"/>
      <c r="N309" s="2"/>
      <c r="O309" s="2" t="s">
        <v>1466</v>
      </c>
      <c r="P309" s="2" t="s">
        <v>1467</v>
      </c>
      <c r="Q309" s="2"/>
      <c r="R309" s="3" t="n">
        <v>0.84</v>
      </c>
      <c r="S309" s="3" t="n">
        <v>1</v>
      </c>
      <c r="T309" s="3" t="n">
        <v>1.8</v>
      </c>
      <c r="U309" s="2"/>
      <c r="V309" s="2" t="s">
        <v>40</v>
      </c>
      <c r="W309" s="2" t="s">
        <v>2686</v>
      </c>
      <c r="X309" s="5" t="s">
        <v>2258</v>
      </c>
      <c r="Y309" s="2" t="n">
        <v>15591308</v>
      </c>
    </row>
    <row r="310" customFormat="false" ht="15" hidden="false" customHeight="false" outlineLevel="0" collapsed="false">
      <c r="A310" s="2" t="s">
        <v>2751</v>
      </c>
      <c r="B310" s="2" t="s">
        <v>2752</v>
      </c>
      <c r="C310" s="2" t="s">
        <v>2088</v>
      </c>
      <c r="D310" s="2" t="s">
        <v>2545</v>
      </c>
      <c r="E310" s="2"/>
      <c r="F310" s="2" t="s">
        <v>1460</v>
      </c>
      <c r="G310" s="2" t="s">
        <v>836</v>
      </c>
      <c r="H310" s="2"/>
      <c r="I310" s="2" t="s">
        <v>2753</v>
      </c>
      <c r="J310" s="2"/>
      <c r="K310" s="2" t="s">
        <v>2754</v>
      </c>
      <c r="L310" s="2" t="s">
        <v>1743</v>
      </c>
      <c r="M310" s="2"/>
      <c r="N310" s="2"/>
      <c r="O310" s="2" t="s">
        <v>1466</v>
      </c>
      <c r="P310" s="2" t="s">
        <v>1467</v>
      </c>
      <c r="Q310" s="2"/>
      <c r="R310" s="3" t="n">
        <v>0.84</v>
      </c>
      <c r="S310" s="3" t="n">
        <v>1</v>
      </c>
      <c r="T310" s="3" t="n">
        <v>1.8</v>
      </c>
      <c r="U310" s="2"/>
      <c r="V310" s="2" t="s">
        <v>40</v>
      </c>
      <c r="W310" s="2" t="s">
        <v>2686</v>
      </c>
      <c r="X310" s="5" t="s">
        <v>2251</v>
      </c>
      <c r="Y310" s="2" t="n">
        <v>15591307</v>
      </c>
    </row>
    <row r="311" customFormat="false" ht="15" hidden="false" customHeight="false" outlineLevel="0" collapsed="false">
      <c r="A311" s="2" t="s">
        <v>2755</v>
      </c>
      <c r="B311" s="2" t="s">
        <v>2756</v>
      </c>
      <c r="C311" s="2" t="s">
        <v>2757</v>
      </c>
      <c r="D311" s="2" t="s">
        <v>2758</v>
      </c>
      <c r="E311" s="2"/>
      <c r="F311" s="2" t="s">
        <v>1460</v>
      </c>
      <c r="G311" s="2" t="s">
        <v>2688</v>
      </c>
      <c r="H311" s="2"/>
      <c r="I311" s="2" t="s">
        <v>2759</v>
      </c>
      <c r="J311" s="2"/>
      <c r="K311" s="2" t="s">
        <v>2760</v>
      </c>
      <c r="L311" s="2" t="s">
        <v>2761</v>
      </c>
      <c r="M311" s="2"/>
      <c r="N311" s="2"/>
      <c r="O311" s="2" t="s">
        <v>1466</v>
      </c>
      <c r="P311" s="2" t="s">
        <v>1467</v>
      </c>
      <c r="Q311" s="2"/>
      <c r="R311" s="3" t="n">
        <v>0.84</v>
      </c>
      <c r="S311" s="3" t="n">
        <v>1</v>
      </c>
      <c r="T311" s="3" t="n">
        <v>1.8</v>
      </c>
      <c r="U311" s="2"/>
      <c r="V311" s="2" t="s">
        <v>40</v>
      </c>
      <c r="W311" s="2" t="s">
        <v>2686</v>
      </c>
      <c r="X311" s="5" t="s">
        <v>2258</v>
      </c>
      <c r="Y311" s="2" t="n">
        <v>15591306</v>
      </c>
    </row>
    <row r="312" customFormat="false" ht="15" hidden="false" customHeight="false" outlineLevel="0" collapsed="false">
      <c r="A312" s="2" t="s">
        <v>2762</v>
      </c>
      <c r="B312" s="2" t="s">
        <v>2763</v>
      </c>
      <c r="C312" s="2" t="s">
        <v>2764</v>
      </c>
      <c r="D312" s="2" t="s">
        <v>2545</v>
      </c>
      <c r="E312" s="2"/>
      <c r="F312" s="2" t="s">
        <v>1460</v>
      </c>
      <c r="G312" s="2" t="s">
        <v>287</v>
      </c>
      <c r="H312" s="2"/>
      <c r="I312" s="2" t="s">
        <v>2765</v>
      </c>
      <c r="J312" s="2"/>
      <c r="K312" s="2" t="s">
        <v>2766</v>
      </c>
      <c r="L312" s="2" t="s">
        <v>2023</v>
      </c>
      <c r="M312" s="2"/>
      <c r="N312" s="2"/>
      <c r="O312" s="2" t="s">
        <v>1466</v>
      </c>
      <c r="P312" s="2" t="s">
        <v>1467</v>
      </c>
      <c r="Q312" s="2"/>
      <c r="R312" s="3" t="n">
        <v>0.84</v>
      </c>
      <c r="S312" s="3" t="n">
        <v>1</v>
      </c>
      <c r="T312" s="3" t="n">
        <v>1.8</v>
      </c>
      <c r="U312" s="2"/>
      <c r="V312" s="2" t="s">
        <v>40</v>
      </c>
      <c r="W312" s="2" t="s">
        <v>2686</v>
      </c>
      <c r="X312" s="5" t="s">
        <v>2251</v>
      </c>
      <c r="Y312" s="2" t="n">
        <v>15591305</v>
      </c>
    </row>
    <row r="313" customFormat="false" ht="15" hidden="false" customHeight="false" outlineLevel="0" collapsed="false">
      <c r="A313" s="2" t="s">
        <v>2339</v>
      </c>
      <c r="B313" s="2" t="s">
        <v>2767</v>
      </c>
      <c r="C313" s="2" t="s">
        <v>2554</v>
      </c>
      <c r="D313" s="2" t="s">
        <v>2768</v>
      </c>
      <c r="E313" s="2"/>
      <c r="F313" s="2" t="s">
        <v>1460</v>
      </c>
      <c r="G313" s="2" t="s">
        <v>2769</v>
      </c>
      <c r="H313" s="2"/>
      <c r="I313" s="2" t="s">
        <v>2770</v>
      </c>
      <c r="J313" s="2"/>
      <c r="K313" s="2" t="s">
        <v>2771</v>
      </c>
      <c r="L313" s="2" t="s">
        <v>2772</v>
      </c>
      <c r="M313" s="2"/>
      <c r="N313" s="2"/>
      <c r="O313" s="2" t="s">
        <v>1466</v>
      </c>
      <c r="P313" s="2" t="s">
        <v>1467</v>
      </c>
      <c r="Q313" s="2"/>
      <c r="R313" s="3" t="n">
        <v>0.84</v>
      </c>
      <c r="S313" s="3" t="n">
        <v>1</v>
      </c>
      <c r="T313" s="3" t="n">
        <v>1.8</v>
      </c>
      <c r="U313" s="2"/>
      <c r="V313" s="2" t="s">
        <v>40</v>
      </c>
      <c r="W313" s="2" t="s">
        <v>2686</v>
      </c>
      <c r="X313" s="5" t="s">
        <v>2258</v>
      </c>
      <c r="Y313" s="2" t="n">
        <v>15591304</v>
      </c>
    </row>
    <row r="314" customFormat="false" ht="15" hidden="false" customHeight="false" outlineLevel="0" collapsed="false">
      <c r="A314" s="2" t="s">
        <v>274</v>
      </c>
      <c r="B314" s="2" t="s">
        <v>2773</v>
      </c>
      <c r="C314" s="2" t="s">
        <v>2088</v>
      </c>
      <c r="D314" s="2" t="s">
        <v>2545</v>
      </c>
      <c r="E314" s="2"/>
      <c r="F314" s="2" t="s">
        <v>1460</v>
      </c>
      <c r="G314" s="2" t="s">
        <v>2774</v>
      </c>
      <c r="H314" s="2"/>
      <c r="I314" s="2" t="s">
        <v>2775</v>
      </c>
      <c r="J314" s="2"/>
      <c r="K314" s="2" t="s">
        <v>2776</v>
      </c>
      <c r="L314" s="2" t="s">
        <v>2263</v>
      </c>
      <c r="M314" s="2"/>
      <c r="N314" s="2"/>
      <c r="O314" s="2" t="s">
        <v>1466</v>
      </c>
      <c r="P314" s="2" t="s">
        <v>1467</v>
      </c>
      <c r="Q314" s="2"/>
      <c r="R314" s="3" t="n">
        <v>0.84</v>
      </c>
      <c r="S314" s="3" t="n">
        <v>1</v>
      </c>
      <c r="T314" s="3" t="n">
        <v>1.8</v>
      </c>
      <c r="U314" s="2"/>
      <c r="V314" s="2" t="s">
        <v>40</v>
      </c>
      <c r="W314" s="2" t="s">
        <v>2686</v>
      </c>
      <c r="X314" s="5" t="s">
        <v>2251</v>
      </c>
      <c r="Y314" s="2" t="n">
        <v>15591303</v>
      </c>
    </row>
    <row r="315" customFormat="false" ht="15" hidden="false" customHeight="false" outlineLevel="0" collapsed="false">
      <c r="A315" s="2" t="s">
        <v>2777</v>
      </c>
      <c r="B315" s="2" t="s">
        <v>2778</v>
      </c>
      <c r="C315" s="2" t="s">
        <v>2779</v>
      </c>
      <c r="D315" s="2" t="s">
        <v>2780</v>
      </c>
      <c r="E315" s="2" t="s">
        <v>103</v>
      </c>
      <c r="F315" s="2" t="s">
        <v>1460</v>
      </c>
      <c r="G315" s="2" t="s">
        <v>2781</v>
      </c>
      <c r="H315" s="2" t="s">
        <v>2782</v>
      </c>
      <c r="I315" s="2" t="s">
        <v>2783</v>
      </c>
      <c r="J315" s="2" t="s">
        <v>2784</v>
      </c>
      <c r="K315" s="2" t="s">
        <v>2785</v>
      </c>
      <c r="L315" s="2" t="s">
        <v>623</v>
      </c>
      <c r="M315" s="2"/>
      <c r="N315" s="2"/>
      <c r="O315" s="2" t="s">
        <v>1466</v>
      </c>
      <c r="P315" s="2" t="s">
        <v>1467</v>
      </c>
      <c r="Q315" s="2"/>
      <c r="R315" s="3" t="n">
        <v>0.98</v>
      </c>
      <c r="S315" s="3" t="n">
        <v>1</v>
      </c>
      <c r="T315" s="3" t="n">
        <v>2</v>
      </c>
      <c r="U315" s="2"/>
      <c r="V315" s="2" t="s">
        <v>40</v>
      </c>
      <c r="W315" s="2" t="s">
        <v>2686</v>
      </c>
      <c r="X315" s="5" t="s">
        <v>2258</v>
      </c>
      <c r="Y315" s="2" t="n">
        <v>15591302</v>
      </c>
    </row>
    <row r="316" customFormat="false" ht="15" hidden="false" customHeight="false" outlineLevel="0" collapsed="false">
      <c r="A316" s="2" t="s">
        <v>423</v>
      </c>
      <c r="B316" s="2" t="s">
        <v>2786</v>
      </c>
      <c r="C316" s="2" t="s">
        <v>2088</v>
      </c>
      <c r="D316" s="2" t="s">
        <v>2787</v>
      </c>
      <c r="E316" s="2" t="s">
        <v>1827</v>
      </c>
      <c r="F316" s="2" t="s">
        <v>165</v>
      </c>
      <c r="G316" s="2" t="s">
        <v>437</v>
      </c>
      <c r="H316" s="2" t="s">
        <v>2788</v>
      </c>
      <c r="I316" s="2" t="s">
        <v>2789</v>
      </c>
      <c r="J316" s="2" t="s">
        <v>2790</v>
      </c>
      <c r="K316" s="2" t="s">
        <v>2496</v>
      </c>
      <c r="L316" s="2" t="s">
        <v>2761</v>
      </c>
      <c r="M316" s="2"/>
      <c r="N316" s="2"/>
      <c r="O316" s="2" t="s">
        <v>1466</v>
      </c>
      <c r="P316" s="2" t="s">
        <v>1467</v>
      </c>
      <c r="Q316" s="2"/>
      <c r="R316" s="3" t="n">
        <v>0.98</v>
      </c>
      <c r="S316" s="3" t="n">
        <v>1</v>
      </c>
      <c r="T316" s="3" t="n">
        <v>2</v>
      </c>
      <c r="U316" s="2"/>
      <c r="V316" s="2" t="s">
        <v>40</v>
      </c>
      <c r="W316" s="2" t="s">
        <v>2686</v>
      </c>
      <c r="X316" s="5" t="s">
        <v>2251</v>
      </c>
      <c r="Y316" s="2" t="n">
        <v>15591301</v>
      </c>
    </row>
    <row r="317" customFormat="false" ht="15" hidden="false" customHeight="false" outlineLevel="0" collapsed="false">
      <c r="A317" s="2" t="s">
        <v>2791</v>
      </c>
      <c r="B317" s="2" t="s">
        <v>2792</v>
      </c>
      <c r="C317" s="2" t="s">
        <v>2793</v>
      </c>
      <c r="D317" s="2" t="s">
        <v>2794</v>
      </c>
      <c r="E317" s="2" t="s">
        <v>1827</v>
      </c>
      <c r="F317" s="2" t="s">
        <v>165</v>
      </c>
      <c r="G317" s="2" t="s">
        <v>59</v>
      </c>
      <c r="H317" s="2" t="s">
        <v>2795</v>
      </c>
      <c r="I317" s="2" t="s">
        <v>2796</v>
      </c>
      <c r="J317" s="2" t="s">
        <v>2797</v>
      </c>
      <c r="K317" s="2" t="s">
        <v>2798</v>
      </c>
      <c r="L317" s="2" t="s">
        <v>2263</v>
      </c>
      <c r="M317" s="2"/>
      <c r="N317" s="2"/>
      <c r="O317" s="2" t="s">
        <v>1466</v>
      </c>
      <c r="P317" s="2" t="s">
        <v>1467</v>
      </c>
      <c r="Q317" s="2"/>
      <c r="R317" s="3" t="n">
        <v>0.98</v>
      </c>
      <c r="S317" s="3" t="n">
        <v>1</v>
      </c>
      <c r="T317" s="3" t="n">
        <v>2</v>
      </c>
      <c r="U317" s="2"/>
      <c r="V317" s="2" t="s">
        <v>40</v>
      </c>
      <c r="W317" s="2" t="s">
        <v>2686</v>
      </c>
      <c r="X317" s="5" t="s">
        <v>2258</v>
      </c>
      <c r="Y317" s="2" t="n">
        <v>15591300</v>
      </c>
    </row>
    <row r="318" customFormat="false" ht="15" hidden="false" customHeight="false" outlineLevel="0" collapsed="false">
      <c r="A318" s="2" t="s">
        <v>2799</v>
      </c>
      <c r="B318" s="2" t="s">
        <v>2800</v>
      </c>
      <c r="C318" s="2" t="s">
        <v>2801</v>
      </c>
      <c r="D318" s="2" t="s">
        <v>2802</v>
      </c>
      <c r="E318" s="2" t="s">
        <v>103</v>
      </c>
      <c r="F318" s="2" t="s">
        <v>30</v>
      </c>
      <c r="G318" s="2" t="s">
        <v>330</v>
      </c>
      <c r="H318" s="2" t="s">
        <v>2803</v>
      </c>
      <c r="I318" s="2" t="s">
        <v>2804</v>
      </c>
      <c r="J318" s="2" t="s">
        <v>2805</v>
      </c>
      <c r="K318" s="2" t="s">
        <v>2806</v>
      </c>
      <c r="L318" s="2" t="s">
        <v>2761</v>
      </c>
      <c r="M318" s="2"/>
      <c r="N318" s="2"/>
      <c r="O318" s="2" t="s">
        <v>1466</v>
      </c>
      <c r="P318" s="2" t="s">
        <v>1467</v>
      </c>
      <c r="Q318" s="2"/>
      <c r="R318" s="3" t="n">
        <v>0.98</v>
      </c>
      <c r="S318" s="3" t="n">
        <v>1</v>
      </c>
      <c r="T318" s="3" t="n">
        <v>2</v>
      </c>
      <c r="U318" s="2"/>
      <c r="V318" s="2" t="s">
        <v>40</v>
      </c>
      <c r="W318" s="2" t="s">
        <v>2686</v>
      </c>
      <c r="X318" s="5" t="s">
        <v>2251</v>
      </c>
      <c r="Y318" s="2" t="n">
        <v>15591299</v>
      </c>
    </row>
    <row r="319" customFormat="false" ht="15" hidden="false" customHeight="false" outlineLevel="0" collapsed="false">
      <c r="A319" s="2" t="s">
        <v>2807</v>
      </c>
      <c r="B319" s="2" t="s">
        <v>2808</v>
      </c>
      <c r="C319" s="2" t="s">
        <v>2809</v>
      </c>
      <c r="D319" s="2" t="s">
        <v>2810</v>
      </c>
      <c r="E319" s="2" t="s">
        <v>47</v>
      </c>
      <c r="F319" s="2" t="s">
        <v>2811</v>
      </c>
      <c r="G319" s="2" t="s">
        <v>2812</v>
      </c>
      <c r="H319" s="2" t="s">
        <v>2813</v>
      </c>
      <c r="I319" s="2" t="s">
        <v>2814</v>
      </c>
      <c r="J319" s="2" t="s">
        <v>2815</v>
      </c>
      <c r="K319" s="2" t="s">
        <v>2816</v>
      </c>
      <c r="L319" s="2" t="s">
        <v>2817</v>
      </c>
      <c r="M319" s="2"/>
      <c r="N319" s="2"/>
      <c r="O319" s="2" t="s">
        <v>1683</v>
      </c>
      <c r="P319" s="2" t="s">
        <v>2818</v>
      </c>
      <c r="Q319" s="2" t="s">
        <v>1685</v>
      </c>
      <c r="R319" s="3" t="n">
        <v>0.83</v>
      </c>
      <c r="S319" s="3" t="n">
        <v>1.1</v>
      </c>
      <c r="T319" s="3" t="n">
        <v>1.8</v>
      </c>
      <c r="U319" s="2" t="s">
        <v>2819</v>
      </c>
      <c r="V319" s="2" t="s">
        <v>40</v>
      </c>
      <c r="W319" s="2" t="s">
        <v>2820</v>
      </c>
      <c r="X319" s="5" t="s">
        <v>2258</v>
      </c>
      <c r="Y319" s="2" t="n">
        <v>15543336</v>
      </c>
    </row>
    <row r="320" customFormat="false" ht="15" hidden="false" customHeight="false" outlineLevel="0" collapsed="false">
      <c r="A320" s="2" t="s">
        <v>717</v>
      </c>
      <c r="B320" s="2" t="s">
        <v>2821</v>
      </c>
      <c r="C320" s="2" t="s">
        <v>45</v>
      </c>
      <c r="D320" s="2" t="s">
        <v>2822</v>
      </c>
      <c r="E320" s="2" t="s">
        <v>103</v>
      </c>
      <c r="F320" s="2" t="s">
        <v>2039</v>
      </c>
      <c r="G320" s="2" t="s">
        <v>2823</v>
      </c>
      <c r="H320" s="2" t="s">
        <v>2824</v>
      </c>
      <c r="I320" s="2" t="s">
        <v>2825</v>
      </c>
      <c r="J320" s="2" t="s">
        <v>2826</v>
      </c>
      <c r="K320" s="2" t="s">
        <v>2827</v>
      </c>
      <c r="L320" s="2" t="s">
        <v>2828</v>
      </c>
      <c r="M320" s="2"/>
      <c r="N320" s="2"/>
      <c r="O320" s="2" t="s">
        <v>1669</v>
      </c>
      <c r="P320" s="2" t="s">
        <v>2829</v>
      </c>
      <c r="Q320" s="2" t="s">
        <v>2830</v>
      </c>
      <c r="R320" s="3" t="n">
        <v>0.89</v>
      </c>
      <c r="S320" s="3" t="n">
        <v>1.1</v>
      </c>
      <c r="T320" s="3" t="n">
        <v>1.9</v>
      </c>
      <c r="U320" s="2" t="s">
        <v>2831</v>
      </c>
      <c r="V320" s="2" t="s">
        <v>40</v>
      </c>
      <c r="W320" s="2" t="s">
        <v>2832</v>
      </c>
      <c r="X320" s="5" t="s">
        <v>2251</v>
      </c>
      <c r="Y320" s="2" t="n">
        <v>15474597</v>
      </c>
    </row>
    <row r="321" customFormat="false" ht="15" hidden="false" customHeight="false" outlineLevel="0" collapsed="false">
      <c r="A321" s="2" t="s">
        <v>2070</v>
      </c>
      <c r="B321" s="2" t="s">
        <v>2833</v>
      </c>
      <c r="C321" s="2" t="s">
        <v>2834</v>
      </c>
      <c r="D321" s="2" t="s">
        <v>2835</v>
      </c>
      <c r="E321" s="2" t="s">
        <v>244</v>
      </c>
      <c r="F321" s="2" t="s">
        <v>165</v>
      </c>
      <c r="G321" s="2" t="s">
        <v>2836</v>
      </c>
      <c r="H321" s="2" t="s">
        <v>2837</v>
      </c>
      <c r="I321" s="2" t="s">
        <v>2838</v>
      </c>
      <c r="J321" s="2" t="s">
        <v>2839</v>
      </c>
      <c r="K321" s="2" t="s">
        <v>2840</v>
      </c>
      <c r="L321" s="2" t="s">
        <v>1777</v>
      </c>
      <c r="M321" s="2"/>
      <c r="N321" s="2"/>
      <c r="O321" s="2" t="s">
        <v>1764</v>
      </c>
      <c r="P321" s="2" t="s">
        <v>2841</v>
      </c>
      <c r="Q321" s="2"/>
      <c r="R321" s="3" t="n">
        <v>0.81</v>
      </c>
      <c r="S321" s="3" t="n">
        <v>1.6</v>
      </c>
      <c r="T321" s="3" t="n">
        <v>2</v>
      </c>
      <c r="U321" s="2" t="s">
        <v>2842</v>
      </c>
      <c r="V321" s="2" t="s">
        <v>40</v>
      </c>
      <c r="W321" s="2" t="s">
        <v>2843</v>
      </c>
      <c r="X321" s="5" t="s">
        <v>2258</v>
      </c>
      <c r="Y321" s="2" t="n">
        <v>15361450</v>
      </c>
    </row>
    <row r="322" customFormat="false" ht="15" hidden="false" customHeight="false" outlineLevel="0" collapsed="false">
      <c r="A322" s="2" t="s">
        <v>1161</v>
      </c>
      <c r="B322" s="2" t="s">
        <v>2844</v>
      </c>
      <c r="C322" s="2" t="s">
        <v>2845</v>
      </c>
      <c r="D322" s="2" t="s">
        <v>2846</v>
      </c>
      <c r="E322" s="2" t="s">
        <v>244</v>
      </c>
      <c r="F322" s="2" t="s">
        <v>1983</v>
      </c>
      <c r="G322" s="2" t="s">
        <v>2847</v>
      </c>
      <c r="H322" s="2" t="s">
        <v>2848</v>
      </c>
      <c r="I322" s="2" t="s">
        <v>2849</v>
      </c>
      <c r="J322" s="2" t="s">
        <v>2850</v>
      </c>
      <c r="K322" s="2" t="s">
        <v>2851</v>
      </c>
      <c r="L322" s="2" t="s">
        <v>2110</v>
      </c>
      <c r="M322" s="2"/>
      <c r="N322" s="2"/>
      <c r="O322" s="2" t="s">
        <v>1764</v>
      </c>
      <c r="P322" s="2" t="s">
        <v>2841</v>
      </c>
      <c r="Q322" s="2"/>
      <c r="R322" s="3" t="n">
        <v>0.94</v>
      </c>
      <c r="S322" s="3" t="n">
        <v>1.6</v>
      </c>
      <c r="T322" s="3" t="n">
        <v>2.2</v>
      </c>
      <c r="U322" s="2" t="s">
        <v>2852</v>
      </c>
      <c r="V322" s="2" t="s">
        <v>40</v>
      </c>
      <c r="W322" s="2" t="s">
        <v>2853</v>
      </c>
      <c r="X322" s="5" t="s">
        <v>2251</v>
      </c>
      <c r="Y322" s="2" t="n">
        <v>15361437</v>
      </c>
    </row>
    <row r="323" customFormat="false" ht="15" hidden="false" customHeight="false" outlineLevel="0" collapsed="false">
      <c r="A323" s="2" t="s">
        <v>2854</v>
      </c>
      <c r="B323" s="2" t="s">
        <v>2855</v>
      </c>
      <c r="C323" s="2" t="s">
        <v>2856</v>
      </c>
      <c r="D323" s="2" t="s">
        <v>2857</v>
      </c>
      <c r="E323" s="2" t="s">
        <v>255</v>
      </c>
      <c r="F323" s="2" t="s">
        <v>48</v>
      </c>
      <c r="G323" s="2" t="s">
        <v>2175</v>
      </c>
      <c r="H323" s="2" t="s">
        <v>2858</v>
      </c>
      <c r="I323" s="2" t="s">
        <v>2859</v>
      </c>
      <c r="J323" s="2" t="s">
        <v>2860</v>
      </c>
      <c r="K323" s="2" t="s">
        <v>2861</v>
      </c>
      <c r="L323" s="2" t="s">
        <v>2862</v>
      </c>
      <c r="M323" s="2"/>
      <c r="N323" s="2"/>
      <c r="O323" s="2" t="s">
        <v>1764</v>
      </c>
      <c r="P323" s="2" t="s">
        <v>2841</v>
      </c>
      <c r="Q323" s="2"/>
      <c r="R323" s="3" t="n">
        <v>0.92</v>
      </c>
      <c r="S323" s="3" t="n">
        <v>1.6</v>
      </c>
      <c r="T323" s="3" t="n">
        <v>2.2</v>
      </c>
      <c r="U323" s="2" t="s">
        <v>2863</v>
      </c>
      <c r="V323" s="2" t="s">
        <v>40</v>
      </c>
      <c r="W323" s="2" t="s">
        <v>2853</v>
      </c>
      <c r="X323" s="5" t="s">
        <v>2258</v>
      </c>
      <c r="Y323" s="2" t="n">
        <v>15361434</v>
      </c>
    </row>
    <row r="324" customFormat="false" ht="15" hidden="false" customHeight="false" outlineLevel="0" collapsed="false">
      <c r="A324" s="2" t="s">
        <v>2864</v>
      </c>
      <c r="B324" s="2" t="s">
        <v>2865</v>
      </c>
      <c r="C324" s="2" t="s">
        <v>2866</v>
      </c>
      <c r="D324" s="2" t="s">
        <v>2867</v>
      </c>
      <c r="E324" s="2" t="s">
        <v>2868</v>
      </c>
      <c r="F324" s="2" t="s">
        <v>48</v>
      </c>
      <c r="G324" s="2" t="s">
        <v>1201</v>
      </c>
      <c r="H324" s="2" t="s">
        <v>2869</v>
      </c>
      <c r="I324" s="2" t="s">
        <v>2870</v>
      </c>
      <c r="J324" s="2" t="s">
        <v>2871</v>
      </c>
      <c r="K324" s="2" t="s">
        <v>2872</v>
      </c>
      <c r="L324" s="2" t="s">
        <v>2133</v>
      </c>
      <c r="M324" s="2"/>
      <c r="N324" s="2"/>
      <c r="O324" s="2" t="s">
        <v>1764</v>
      </c>
      <c r="P324" s="2" t="s">
        <v>2841</v>
      </c>
      <c r="Q324" s="2"/>
      <c r="R324" s="3" t="n">
        <v>0.82</v>
      </c>
      <c r="S324" s="3" t="n">
        <v>1.6</v>
      </c>
      <c r="T324" s="3" t="n">
        <v>2</v>
      </c>
      <c r="U324" s="2" t="s">
        <v>2873</v>
      </c>
      <c r="V324" s="2" t="s">
        <v>40</v>
      </c>
      <c r="W324" s="2" t="s">
        <v>2853</v>
      </c>
      <c r="X324" s="5" t="s">
        <v>2251</v>
      </c>
      <c r="Y324" s="2" t="n">
        <v>15361431</v>
      </c>
    </row>
    <row r="325" customFormat="false" ht="15" hidden="false" customHeight="false" outlineLevel="0" collapsed="false">
      <c r="A325" s="2" t="s">
        <v>2874</v>
      </c>
      <c r="B325" s="2" t="s">
        <v>2875</v>
      </c>
      <c r="C325" s="2" t="s">
        <v>2876</v>
      </c>
      <c r="D325" s="2" t="s">
        <v>2877</v>
      </c>
      <c r="E325" s="2" t="s">
        <v>255</v>
      </c>
      <c r="F325" s="2" t="s">
        <v>1662</v>
      </c>
      <c r="G325" s="2" t="s">
        <v>666</v>
      </c>
      <c r="H325" s="2" t="s">
        <v>2878</v>
      </c>
      <c r="I325" s="2" t="s">
        <v>2879</v>
      </c>
      <c r="J325" s="2" t="s">
        <v>2880</v>
      </c>
      <c r="K325" s="2"/>
      <c r="L325" s="2" t="s">
        <v>2541</v>
      </c>
      <c r="M325" s="2"/>
      <c r="N325" s="2"/>
      <c r="O325" s="2" t="s">
        <v>1764</v>
      </c>
      <c r="P325" s="2" t="s">
        <v>2841</v>
      </c>
      <c r="Q325" s="2"/>
      <c r="R325" s="3" t="n">
        <v>0.85</v>
      </c>
      <c r="S325" s="3" t="n">
        <v>1.6</v>
      </c>
      <c r="T325" s="3" t="n">
        <v>2.1</v>
      </c>
      <c r="U325" s="2" t="s">
        <v>2881</v>
      </c>
      <c r="V325" s="2" t="s">
        <v>40</v>
      </c>
      <c r="W325" s="2" t="s">
        <v>2853</v>
      </c>
      <c r="X325" s="5" t="s">
        <v>2258</v>
      </c>
      <c r="Y325" s="2" t="n">
        <v>15361413</v>
      </c>
    </row>
    <row r="326" customFormat="false" ht="15" hidden="false" customHeight="false" outlineLevel="0" collapsed="false">
      <c r="A326" s="2" t="s">
        <v>2882</v>
      </c>
      <c r="B326" s="2" t="s">
        <v>1990</v>
      </c>
      <c r="C326" s="2" t="s">
        <v>2883</v>
      </c>
      <c r="D326" s="2" t="s">
        <v>2884</v>
      </c>
      <c r="E326" s="2" t="s">
        <v>1827</v>
      </c>
      <c r="F326" s="2" t="s">
        <v>1782</v>
      </c>
      <c r="G326" s="2" t="s">
        <v>389</v>
      </c>
      <c r="H326" s="2" t="s">
        <v>2885</v>
      </c>
      <c r="I326" s="2" t="s">
        <v>2886</v>
      </c>
      <c r="J326" s="2" t="s">
        <v>2887</v>
      </c>
      <c r="K326" s="2" t="s">
        <v>2888</v>
      </c>
      <c r="L326" s="2" t="s">
        <v>2889</v>
      </c>
      <c r="M326" s="2"/>
      <c r="N326" s="2"/>
      <c r="O326" s="2" t="s">
        <v>1764</v>
      </c>
      <c r="P326" s="2" t="s">
        <v>2841</v>
      </c>
      <c r="Q326" s="2"/>
      <c r="R326" s="3" t="n">
        <v>0.97</v>
      </c>
      <c r="S326" s="3" t="n">
        <v>1.6</v>
      </c>
      <c r="T326" s="3" t="n">
        <v>2.2</v>
      </c>
      <c r="U326" s="2" t="s">
        <v>2890</v>
      </c>
      <c r="V326" s="2" t="s">
        <v>40</v>
      </c>
      <c r="W326" s="2" t="s">
        <v>2853</v>
      </c>
      <c r="X326" s="5" t="s">
        <v>2251</v>
      </c>
      <c r="Y326" s="2" t="n">
        <v>15361395</v>
      </c>
    </row>
    <row r="327" customFormat="false" ht="15" hidden="false" customHeight="false" outlineLevel="0" collapsed="false">
      <c r="A327" s="2" t="s">
        <v>2891</v>
      </c>
      <c r="B327" s="2" t="s">
        <v>2892</v>
      </c>
      <c r="C327" s="2" t="s">
        <v>2893</v>
      </c>
      <c r="D327" s="2" t="s">
        <v>2884</v>
      </c>
      <c r="E327" s="2" t="s">
        <v>1827</v>
      </c>
      <c r="F327" s="2" t="s">
        <v>1782</v>
      </c>
      <c r="G327" s="2" t="s">
        <v>2683</v>
      </c>
      <c r="H327" s="2" t="s">
        <v>2885</v>
      </c>
      <c r="I327" s="2" t="s">
        <v>2894</v>
      </c>
      <c r="J327" s="2" t="s">
        <v>2887</v>
      </c>
      <c r="K327" s="2" t="s">
        <v>2895</v>
      </c>
      <c r="L327" s="2" t="s">
        <v>2896</v>
      </c>
      <c r="M327" s="2"/>
      <c r="N327" s="2"/>
      <c r="O327" s="2" t="s">
        <v>1764</v>
      </c>
      <c r="P327" s="2" t="s">
        <v>2841</v>
      </c>
      <c r="Q327" s="2"/>
      <c r="R327" s="3" t="n">
        <v>0.95</v>
      </c>
      <c r="S327" s="3" t="n">
        <v>1.6</v>
      </c>
      <c r="T327" s="3" t="n">
        <v>2.2</v>
      </c>
      <c r="U327" s="2" t="s">
        <v>2897</v>
      </c>
      <c r="V327" s="2" t="s">
        <v>40</v>
      </c>
      <c r="W327" s="2" t="s">
        <v>2853</v>
      </c>
      <c r="X327" s="5" t="s">
        <v>2258</v>
      </c>
      <c r="Y327" s="2" t="n">
        <v>15361382</v>
      </c>
    </row>
    <row r="328" customFormat="false" ht="15" hidden="false" customHeight="false" outlineLevel="0" collapsed="false">
      <c r="A328" s="2" t="s">
        <v>2898</v>
      </c>
      <c r="B328" s="2" t="s">
        <v>2899</v>
      </c>
      <c r="C328" s="2" t="s">
        <v>2845</v>
      </c>
      <c r="D328" s="2" t="s">
        <v>2900</v>
      </c>
      <c r="E328" s="2" t="s">
        <v>1827</v>
      </c>
      <c r="F328" s="2" t="s">
        <v>1782</v>
      </c>
      <c r="G328" s="2" t="s">
        <v>287</v>
      </c>
      <c r="H328" s="2" t="s">
        <v>2901</v>
      </c>
      <c r="I328" s="2" t="s">
        <v>2902</v>
      </c>
      <c r="J328" s="2" t="s">
        <v>2903</v>
      </c>
      <c r="K328" s="2" t="s">
        <v>2904</v>
      </c>
      <c r="L328" s="2" t="s">
        <v>1777</v>
      </c>
      <c r="M328" s="2"/>
      <c r="N328" s="2"/>
      <c r="O328" s="2" t="s">
        <v>1764</v>
      </c>
      <c r="P328" s="2" t="s">
        <v>2841</v>
      </c>
      <c r="Q328" s="2"/>
      <c r="R328" s="3" t="n">
        <v>0.91</v>
      </c>
      <c r="S328" s="3" t="n">
        <v>1.6</v>
      </c>
      <c r="T328" s="3" t="n">
        <v>2.2</v>
      </c>
      <c r="U328" s="2" t="s">
        <v>2905</v>
      </c>
      <c r="V328" s="2" t="s">
        <v>40</v>
      </c>
      <c r="W328" s="2" t="s">
        <v>2853</v>
      </c>
      <c r="X328" s="5" t="s">
        <v>2251</v>
      </c>
      <c r="Y328" s="2" t="n">
        <v>15361381</v>
      </c>
    </row>
    <row r="329" customFormat="false" ht="15" hidden="false" customHeight="false" outlineLevel="0" collapsed="false">
      <c r="A329" s="2" t="s">
        <v>1019</v>
      </c>
      <c r="B329" s="2" t="s">
        <v>2906</v>
      </c>
      <c r="C329" s="2" t="s">
        <v>1199</v>
      </c>
      <c r="D329" s="2" t="s">
        <v>2907</v>
      </c>
      <c r="E329" s="2" t="s">
        <v>1827</v>
      </c>
      <c r="F329" s="2" t="s">
        <v>165</v>
      </c>
      <c r="G329" s="2" t="s">
        <v>2908</v>
      </c>
      <c r="H329" s="2" t="s">
        <v>2909</v>
      </c>
      <c r="I329" s="2" t="s">
        <v>2910</v>
      </c>
      <c r="J329" s="2" t="s">
        <v>2911</v>
      </c>
      <c r="K329" s="2" t="s">
        <v>2912</v>
      </c>
      <c r="L329" s="2" t="s">
        <v>2913</v>
      </c>
      <c r="M329" s="2"/>
      <c r="N329" s="2"/>
      <c r="O329" s="2" t="s">
        <v>1440</v>
      </c>
      <c r="P329" s="2" t="s">
        <v>2914</v>
      </c>
      <c r="Q329" s="2" t="s">
        <v>1720</v>
      </c>
      <c r="R329" s="3" t="n">
        <v>0.81</v>
      </c>
      <c r="S329" s="3" t="n">
        <v>1.1</v>
      </c>
      <c r="T329" s="3" t="n">
        <v>1.8</v>
      </c>
      <c r="U329" s="2" t="s">
        <v>2915</v>
      </c>
      <c r="V329" s="2" t="s">
        <v>40</v>
      </c>
      <c r="W329" s="2" t="s">
        <v>2916</v>
      </c>
      <c r="X329" s="5" t="s">
        <v>2258</v>
      </c>
      <c r="Y329" s="2" t="n">
        <v>15357146</v>
      </c>
    </row>
    <row r="330" customFormat="false" ht="15" hidden="false" customHeight="false" outlineLevel="0" collapsed="false">
      <c r="A330" s="2" t="s">
        <v>2917</v>
      </c>
      <c r="B330" s="2" t="s">
        <v>2918</v>
      </c>
      <c r="C330" s="2" t="s">
        <v>285</v>
      </c>
      <c r="D330" s="2" t="s">
        <v>2919</v>
      </c>
      <c r="E330" s="2" t="s">
        <v>47</v>
      </c>
      <c r="F330" s="2" t="s">
        <v>2039</v>
      </c>
      <c r="G330" s="2" t="s">
        <v>202</v>
      </c>
      <c r="H330" s="2"/>
      <c r="I330" s="2" t="s">
        <v>2920</v>
      </c>
      <c r="J330" s="2" t="s">
        <v>2921</v>
      </c>
      <c r="K330" s="2" t="s">
        <v>285</v>
      </c>
      <c r="L330" s="2" t="s">
        <v>2922</v>
      </c>
      <c r="M330" s="2"/>
      <c r="N330" s="2"/>
      <c r="O330" s="2" t="s">
        <v>1683</v>
      </c>
      <c r="P330" s="2" t="s">
        <v>2923</v>
      </c>
      <c r="Q330" s="2" t="s">
        <v>1733</v>
      </c>
      <c r="R330" s="3" t="n">
        <v>0.86</v>
      </c>
      <c r="S330" s="3" t="n">
        <v>1.1</v>
      </c>
      <c r="T330" s="3" t="n">
        <v>1.8</v>
      </c>
      <c r="U330" s="2" t="s">
        <v>2924</v>
      </c>
      <c r="V330" s="2" t="s">
        <v>40</v>
      </c>
      <c r="W330" s="2" t="s">
        <v>2925</v>
      </c>
      <c r="X330" s="5" t="s">
        <v>2251</v>
      </c>
      <c r="Y330" s="2" t="n">
        <v>15347503</v>
      </c>
    </row>
    <row r="331" customFormat="false" ht="15" hidden="false" customHeight="false" outlineLevel="0" collapsed="false">
      <c r="A331" s="2" t="s">
        <v>1144</v>
      </c>
      <c r="B331" s="2" t="s">
        <v>2926</v>
      </c>
      <c r="C331" s="2" t="s">
        <v>2927</v>
      </c>
      <c r="D331" s="2" t="s">
        <v>2928</v>
      </c>
      <c r="E331" s="2" t="s">
        <v>90</v>
      </c>
      <c r="F331" s="2" t="s">
        <v>165</v>
      </c>
      <c r="G331" s="2" t="s">
        <v>2929</v>
      </c>
      <c r="H331" s="2" t="s">
        <v>2930</v>
      </c>
      <c r="I331" s="2" t="s">
        <v>2931</v>
      </c>
      <c r="J331" s="2" t="s">
        <v>2932</v>
      </c>
      <c r="K331" s="2" t="s">
        <v>2933</v>
      </c>
      <c r="L331" s="2" t="s">
        <v>2077</v>
      </c>
      <c r="M331" s="2"/>
      <c r="N331" s="2"/>
      <c r="O331" s="2" t="s">
        <v>1683</v>
      </c>
      <c r="P331" s="2" t="s">
        <v>2934</v>
      </c>
      <c r="Q331" s="2" t="s">
        <v>1733</v>
      </c>
      <c r="R331" s="3" t="n">
        <v>0.96</v>
      </c>
      <c r="S331" s="3" t="n">
        <v>1.5</v>
      </c>
      <c r="T331" s="3" t="n">
        <v>2.2</v>
      </c>
      <c r="U331" s="2" t="s">
        <v>2935</v>
      </c>
      <c r="V331" s="2" t="s">
        <v>40</v>
      </c>
      <c r="W331" s="2" t="s">
        <v>2925</v>
      </c>
      <c r="X331" s="5" t="s">
        <v>2258</v>
      </c>
      <c r="Y331" s="2" t="n">
        <v>15347502</v>
      </c>
    </row>
    <row r="332" customFormat="false" ht="15" hidden="false" customHeight="false" outlineLevel="0" collapsed="false">
      <c r="A332" s="2" t="s">
        <v>2936</v>
      </c>
      <c r="B332" s="2" t="s">
        <v>2937</v>
      </c>
      <c r="C332" s="2" t="s">
        <v>1660</v>
      </c>
      <c r="D332" s="2" t="s">
        <v>2938</v>
      </c>
      <c r="E332" s="2" t="s">
        <v>103</v>
      </c>
      <c r="F332" s="2" t="s">
        <v>165</v>
      </c>
      <c r="G332" s="2" t="s">
        <v>2939</v>
      </c>
      <c r="H332" s="2" t="s">
        <v>2940</v>
      </c>
      <c r="I332" s="2" t="s">
        <v>2941</v>
      </c>
      <c r="J332" s="2" t="s">
        <v>2942</v>
      </c>
      <c r="K332" s="2" t="s">
        <v>2943</v>
      </c>
      <c r="L332" s="2" t="s">
        <v>945</v>
      </c>
      <c r="M332" s="2"/>
      <c r="N332" s="2"/>
      <c r="O332" s="2" t="s">
        <v>1683</v>
      </c>
      <c r="P332" s="2" t="s">
        <v>2923</v>
      </c>
      <c r="Q332" s="2" t="s">
        <v>1733</v>
      </c>
      <c r="R332" s="3" t="n">
        <v>0.91</v>
      </c>
      <c r="S332" s="3" t="n">
        <v>1.1</v>
      </c>
      <c r="T332" s="3" t="n">
        <v>1.9</v>
      </c>
      <c r="U332" s="2" t="s">
        <v>2944</v>
      </c>
      <c r="V332" s="2" t="s">
        <v>40</v>
      </c>
      <c r="W332" s="2" t="s">
        <v>2925</v>
      </c>
      <c r="X332" s="5" t="s">
        <v>2251</v>
      </c>
      <c r="Y332" s="2" t="n">
        <v>15347491</v>
      </c>
    </row>
    <row r="333" customFormat="false" ht="15" hidden="false" customHeight="false" outlineLevel="0" collapsed="false">
      <c r="A333" s="2" t="s">
        <v>2945</v>
      </c>
      <c r="B333" s="2" t="s">
        <v>2946</v>
      </c>
      <c r="C333" s="2" t="s">
        <v>2017</v>
      </c>
      <c r="D333" s="2" t="s">
        <v>2947</v>
      </c>
      <c r="E333" s="2" t="s">
        <v>90</v>
      </c>
      <c r="F333" s="2" t="s">
        <v>1782</v>
      </c>
      <c r="G333" s="2" t="s">
        <v>692</v>
      </c>
      <c r="H333" s="2" t="s">
        <v>2948</v>
      </c>
      <c r="I333" s="2" t="s">
        <v>2949</v>
      </c>
      <c r="J333" s="2" t="s">
        <v>2950</v>
      </c>
      <c r="K333" s="2" t="s">
        <v>2951</v>
      </c>
      <c r="L333" s="2" t="s">
        <v>2715</v>
      </c>
      <c r="M333" s="2"/>
      <c r="N333" s="2"/>
      <c r="O333" s="2" t="s">
        <v>1683</v>
      </c>
      <c r="P333" s="2" t="s">
        <v>2952</v>
      </c>
      <c r="Q333" s="2" t="s">
        <v>1733</v>
      </c>
      <c r="R333" s="3" t="n">
        <v>0.81</v>
      </c>
      <c r="S333" s="3" t="n">
        <v>1.1</v>
      </c>
      <c r="T333" s="3" t="n">
        <v>1.8</v>
      </c>
      <c r="U333" s="2" t="s">
        <v>2953</v>
      </c>
      <c r="V333" s="2" t="s">
        <v>40</v>
      </c>
      <c r="W333" s="2" t="s">
        <v>2925</v>
      </c>
      <c r="X333" s="5" t="s">
        <v>2258</v>
      </c>
      <c r="Y333" s="2" t="n">
        <v>15347490</v>
      </c>
    </row>
    <row r="334" customFormat="false" ht="15" hidden="false" customHeight="false" outlineLevel="0" collapsed="false">
      <c r="A334" s="2" t="s">
        <v>2954</v>
      </c>
      <c r="B334" s="2" t="s">
        <v>2955</v>
      </c>
      <c r="C334" s="2" t="s">
        <v>2956</v>
      </c>
      <c r="D334" s="2" t="s">
        <v>2957</v>
      </c>
      <c r="E334" s="2" t="s">
        <v>47</v>
      </c>
      <c r="F334" s="2" t="s">
        <v>30</v>
      </c>
      <c r="G334" s="2" t="s">
        <v>389</v>
      </c>
      <c r="H334" s="2" t="s">
        <v>2958</v>
      </c>
      <c r="I334" s="2" t="s">
        <v>2959</v>
      </c>
      <c r="J334" s="2" t="s">
        <v>2960</v>
      </c>
      <c r="K334" s="2" t="s">
        <v>2956</v>
      </c>
      <c r="L334" s="2" t="s">
        <v>2961</v>
      </c>
      <c r="M334" s="2"/>
      <c r="N334" s="2"/>
      <c r="O334" s="2" t="s">
        <v>1440</v>
      </c>
      <c r="P334" s="2" t="s">
        <v>2962</v>
      </c>
      <c r="Q334" s="2" t="s">
        <v>1454</v>
      </c>
      <c r="R334" s="3" t="n">
        <v>0.88</v>
      </c>
      <c r="S334" s="3" t="n">
        <v>1.1</v>
      </c>
      <c r="T334" s="3" t="n">
        <v>1.9</v>
      </c>
      <c r="U334" s="2" t="s">
        <v>2963</v>
      </c>
      <c r="V334" s="2" t="s">
        <v>40</v>
      </c>
      <c r="W334" s="2" t="s">
        <v>2964</v>
      </c>
      <c r="X334" s="5" t="s">
        <v>2251</v>
      </c>
      <c r="Y334" s="2" t="n">
        <v>15336757</v>
      </c>
    </row>
    <row r="335" customFormat="false" ht="15" hidden="false" customHeight="false" outlineLevel="0" collapsed="false">
      <c r="A335" s="2" t="s">
        <v>2965</v>
      </c>
      <c r="B335" s="2" t="s">
        <v>2966</v>
      </c>
      <c r="C335" s="2" t="s">
        <v>285</v>
      </c>
      <c r="D335" s="2" t="s">
        <v>2967</v>
      </c>
      <c r="E335" s="2" t="s">
        <v>47</v>
      </c>
      <c r="F335" s="2" t="s">
        <v>165</v>
      </c>
      <c r="G335" s="2" t="s">
        <v>2968</v>
      </c>
      <c r="H335" s="2" t="s">
        <v>2969</v>
      </c>
      <c r="I335" s="2" t="s">
        <v>2970</v>
      </c>
      <c r="J335" s="2" t="s">
        <v>2971</v>
      </c>
      <c r="K335" s="2" t="s">
        <v>2972</v>
      </c>
      <c r="L335" s="2" t="s">
        <v>2523</v>
      </c>
      <c r="M335" s="2"/>
      <c r="N335" s="2"/>
      <c r="O335" s="2" t="s">
        <v>1764</v>
      </c>
      <c r="P335" s="2" t="s">
        <v>2841</v>
      </c>
      <c r="Q335" s="2"/>
      <c r="R335" s="3" t="n">
        <v>0.89</v>
      </c>
      <c r="S335" s="3" t="n">
        <v>1.6</v>
      </c>
      <c r="T335" s="3" t="n">
        <v>2.1</v>
      </c>
      <c r="U335" s="2" t="s">
        <v>2973</v>
      </c>
      <c r="V335" s="2" t="s">
        <v>40</v>
      </c>
      <c r="W335" s="2" t="s">
        <v>2974</v>
      </c>
      <c r="X335" s="5" t="s">
        <v>2258</v>
      </c>
      <c r="Y335" s="2" t="n">
        <v>15336669</v>
      </c>
    </row>
    <row r="336" customFormat="false" ht="15" hidden="false" customHeight="false" outlineLevel="0" collapsed="false">
      <c r="A336" s="2" t="s">
        <v>2975</v>
      </c>
      <c r="B336" s="2" t="s">
        <v>2976</v>
      </c>
      <c r="C336" s="2" t="s">
        <v>285</v>
      </c>
      <c r="D336" s="2" t="s">
        <v>2977</v>
      </c>
      <c r="E336" s="2" t="s">
        <v>90</v>
      </c>
      <c r="F336" s="2" t="s">
        <v>165</v>
      </c>
      <c r="G336" s="2" t="s">
        <v>2978</v>
      </c>
      <c r="H336" s="2" t="s">
        <v>2979</v>
      </c>
      <c r="I336" s="2" t="s">
        <v>2980</v>
      </c>
      <c r="J336" s="2" t="s">
        <v>2981</v>
      </c>
      <c r="K336" s="2" t="s">
        <v>2982</v>
      </c>
      <c r="L336" s="2" t="s">
        <v>2110</v>
      </c>
      <c r="M336" s="2"/>
      <c r="N336" s="2"/>
      <c r="O336" s="2" t="s">
        <v>1764</v>
      </c>
      <c r="P336" s="2" t="s">
        <v>2841</v>
      </c>
      <c r="Q336" s="2"/>
      <c r="R336" s="3" t="n">
        <v>0.97</v>
      </c>
      <c r="S336" s="3" t="n">
        <v>1.6</v>
      </c>
      <c r="T336" s="3" t="n">
        <v>2.3</v>
      </c>
      <c r="U336" s="2" t="s">
        <v>2983</v>
      </c>
      <c r="V336" s="2" t="s">
        <v>40</v>
      </c>
      <c r="W336" s="2" t="s">
        <v>2974</v>
      </c>
      <c r="X336" s="5" t="s">
        <v>2251</v>
      </c>
      <c r="Y336" s="2" t="n">
        <v>15336663</v>
      </c>
    </row>
    <row r="337" customFormat="false" ht="15" hidden="false" customHeight="false" outlineLevel="0" collapsed="false">
      <c r="A337" s="2" t="s">
        <v>2211</v>
      </c>
      <c r="B337" s="2" t="s">
        <v>2984</v>
      </c>
      <c r="C337" s="2" t="s">
        <v>45</v>
      </c>
      <c r="D337" s="2" t="s">
        <v>2985</v>
      </c>
      <c r="E337" s="2" t="s">
        <v>90</v>
      </c>
      <c r="F337" s="2" t="s">
        <v>165</v>
      </c>
      <c r="G337" s="2" t="s">
        <v>2688</v>
      </c>
      <c r="H337" s="2" t="s">
        <v>2986</v>
      </c>
      <c r="I337" s="2" t="s">
        <v>2987</v>
      </c>
      <c r="J337" s="2" t="s">
        <v>2988</v>
      </c>
      <c r="K337" s="2"/>
      <c r="L337" s="2" t="s">
        <v>2110</v>
      </c>
      <c r="M337" s="2"/>
      <c r="N337" s="2"/>
      <c r="O337" s="2" t="s">
        <v>1764</v>
      </c>
      <c r="P337" s="2" t="s">
        <v>2841</v>
      </c>
      <c r="Q337" s="2"/>
      <c r="R337" s="3" t="n">
        <v>1</v>
      </c>
      <c r="S337" s="3" t="n">
        <v>1.6</v>
      </c>
      <c r="T337" s="3" t="n">
        <v>2.3</v>
      </c>
      <c r="U337" s="2" t="s">
        <v>2989</v>
      </c>
      <c r="V337" s="2" t="s">
        <v>40</v>
      </c>
      <c r="W337" s="2" t="s">
        <v>2974</v>
      </c>
      <c r="X337" s="5" t="s">
        <v>2258</v>
      </c>
      <c r="Y337" s="2" t="n">
        <v>15336654</v>
      </c>
    </row>
    <row r="338" customFormat="false" ht="15" hidden="false" customHeight="false" outlineLevel="0" collapsed="false">
      <c r="A338" s="2" t="s">
        <v>2874</v>
      </c>
      <c r="B338" s="2" t="s">
        <v>2990</v>
      </c>
      <c r="C338" s="2" t="s">
        <v>285</v>
      </c>
      <c r="D338" s="2" t="s">
        <v>2991</v>
      </c>
      <c r="E338" s="2" t="s">
        <v>255</v>
      </c>
      <c r="F338" s="2" t="s">
        <v>165</v>
      </c>
      <c r="G338" s="2" t="s">
        <v>2992</v>
      </c>
      <c r="H338" s="2" t="s">
        <v>2993</v>
      </c>
      <c r="I338" s="2" t="s">
        <v>2994</v>
      </c>
      <c r="J338" s="2" t="s">
        <v>2995</v>
      </c>
      <c r="K338" s="2" t="s">
        <v>2996</v>
      </c>
      <c r="L338" s="2" t="s">
        <v>2110</v>
      </c>
      <c r="M338" s="2"/>
      <c r="N338" s="2"/>
      <c r="O338" s="2" t="s">
        <v>1764</v>
      </c>
      <c r="P338" s="2" t="s">
        <v>2841</v>
      </c>
      <c r="Q338" s="2"/>
      <c r="R338" s="3" t="n">
        <v>1</v>
      </c>
      <c r="S338" s="3" t="n">
        <v>1.6</v>
      </c>
      <c r="T338" s="3" t="n">
        <v>2.3</v>
      </c>
      <c r="U338" s="2" t="s">
        <v>2997</v>
      </c>
      <c r="V338" s="2" t="s">
        <v>40</v>
      </c>
      <c r="W338" s="2" t="s">
        <v>2974</v>
      </c>
      <c r="X338" s="5" t="s">
        <v>2251</v>
      </c>
      <c r="Y338" s="2" t="n">
        <v>15336651</v>
      </c>
    </row>
    <row r="339" customFormat="false" ht="15" hidden="false" customHeight="false" outlineLevel="0" collapsed="false">
      <c r="A339" s="2" t="s">
        <v>2998</v>
      </c>
      <c r="B339" s="2" t="s">
        <v>2999</v>
      </c>
      <c r="C339" s="2" t="s">
        <v>2266</v>
      </c>
      <c r="D339" s="2" t="s">
        <v>3000</v>
      </c>
      <c r="E339" s="2" t="s">
        <v>244</v>
      </c>
      <c r="F339" s="2" t="s">
        <v>165</v>
      </c>
      <c r="G339" s="2" t="s">
        <v>674</v>
      </c>
      <c r="H339" s="2" t="s">
        <v>3001</v>
      </c>
      <c r="I339" s="2" t="s">
        <v>3002</v>
      </c>
      <c r="J339" s="2" t="s">
        <v>3003</v>
      </c>
      <c r="K339" s="2" t="s">
        <v>3004</v>
      </c>
      <c r="L339" s="2" t="s">
        <v>3005</v>
      </c>
      <c r="M339" s="2"/>
      <c r="N339" s="2"/>
      <c r="O339" s="2" t="s">
        <v>1764</v>
      </c>
      <c r="P339" s="2" t="s">
        <v>2841</v>
      </c>
      <c r="Q339" s="2"/>
      <c r="R339" s="3" t="n">
        <v>0.87</v>
      </c>
      <c r="S339" s="3" t="n">
        <v>1.6</v>
      </c>
      <c r="T339" s="3" t="n">
        <v>2.1</v>
      </c>
      <c r="U339" s="2" t="s">
        <v>3006</v>
      </c>
      <c r="V339" s="2" t="s">
        <v>40</v>
      </c>
      <c r="W339" s="2" t="s">
        <v>2974</v>
      </c>
      <c r="X339" s="5" t="s">
        <v>2258</v>
      </c>
      <c r="Y339" s="2" t="n">
        <v>15336647</v>
      </c>
    </row>
    <row r="340" customFormat="false" ht="15" hidden="false" customHeight="false" outlineLevel="0" collapsed="false">
      <c r="A340" s="2" t="s">
        <v>1403</v>
      </c>
      <c r="B340" s="2" t="s">
        <v>3007</v>
      </c>
      <c r="C340" s="2" t="s">
        <v>1495</v>
      </c>
      <c r="D340" s="2" t="s">
        <v>3008</v>
      </c>
      <c r="E340" s="2" t="s">
        <v>1827</v>
      </c>
      <c r="F340" s="2" t="s">
        <v>165</v>
      </c>
      <c r="G340" s="2" t="s">
        <v>3009</v>
      </c>
      <c r="H340" s="2" t="s">
        <v>3010</v>
      </c>
      <c r="I340" s="2" t="s">
        <v>3011</v>
      </c>
      <c r="J340" s="2" t="s">
        <v>3012</v>
      </c>
      <c r="K340" s="6" t="s">
        <v>3013</v>
      </c>
      <c r="L340" s="2" t="s">
        <v>1777</v>
      </c>
      <c r="M340" s="2"/>
      <c r="N340" s="2"/>
      <c r="O340" s="2" t="s">
        <v>1764</v>
      </c>
      <c r="P340" s="2" t="s">
        <v>2841</v>
      </c>
      <c r="Q340" s="2"/>
      <c r="R340" s="3" t="n">
        <v>0.83</v>
      </c>
      <c r="S340" s="3" t="n">
        <v>1.6</v>
      </c>
      <c r="T340" s="3" t="n">
        <v>2</v>
      </c>
      <c r="U340" s="2" t="s">
        <v>3014</v>
      </c>
      <c r="V340" s="2" t="s">
        <v>40</v>
      </c>
      <c r="W340" s="2" t="s">
        <v>2974</v>
      </c>
      <c r="X340" s="5" t="s">
        <v>2251</v>
      </c>
      <c r="Y340" s="2" t="n">
        <v>15336645</v>
      </c>
    </row>
    <row r="341" customFormat="false" ht="15" hidden="false" customHeight="false" outlineLevel="0" collapsed="false">
      <c r="A341" s="2" t="s">
        <v>3015</v>
      </c>
      <c r="B341" s="2" t="s">
        <v>3016</v>
      </c>
      <c r="C341" s="2" t="s">
        <v>1199</v>
      </c>
      <c r="D341" s="2" t="s">
        <v>1049</v>
      </c>
      <c r="E341" s="2" t="s">
        <v>255</v>
      </c>
      <c r="F341" s="2" t="s">
        <v>30</v>
      </c>
      <c r="G341" s="2" t="s">
        <v>79</v>
      </c>
      <c r="H341" s="2" t="s">
        <v>3017</v>
      </c>
      <c r="I341" s="2" t="s">
        <v>3018</v>
      </c>
      <c r="J341" s="2" t="s">
        <v>3019</v>
      </c>
      <c r="K341" s="2" t="s">
        <v>3020</v>
      </c>
      <c r="L341" s="2" t="s">
        <v>109</v>
      </c>
      <c r="M341" s="2"/>
      <c r="N341" s="2"/>
      <c r="O341" s="2" t="s">
        <v>1764</v>
      </c>
      <c r="P341" s="2" t="s">
        <v>2841</v>
      </c>
      <c r="Q341" s="2"/>
      <c r="R341" s="3" t="n">
        <v>0.92</v>
      </c>
      <c r="S341" s="3" t="n">
        <v>1.6</v>
      </c>
      <c r="T341" s="3" t="n">
        <v>2.2</v>
      </c>
      <c r="U341" s="2" t="s">
        <v>3021</v>
      </c>
      <c r="V341" s="2" t="s">
        <v>40</v>
      </c>
      <c r="W341" s="2" t="s">
        <v>2974</v>
      </c>
      <c r="X341" s="5" t="s">
        <v>2258</v>
      </c>
      <c r="Y341" s="2" t="n">
        <v>15336640</v>
      </c>
    </row>
    <row r="342" customFormat="false" ht="15" hidden="false" customHeight="false" outlineLevel="0" collapsed="false">
      <c r="A342" s="2" t="s">
        <v>3022</v>
      </c>
      <c r="B342" s="2" t="s">
        <v>3023</v>
      </c>
      <c r="C342" s="2" t="s">
        <v>1660</v>
      </c>
      <c r="D342" s="2" t="s">
        <v>3024</v>
      </c>
      <c r="E342" s="2" t="s">
        <v>47</v>
      </c>
      <c r="F342" s="2" t="s">
        <v>30</v>
      </c>
      <c r="G342" s="2" t="s">
        <v>3025</v>
      </c>
      <c r="H342" s="2" t="s">
        <v>3026</v>
      </c>
      <c r="I342" s="2" t="s">
        <v>3027</v>
      </c>
      <c r="J342" s="2" t="s">
        <v>3028</v>
      </c>
      <c r="K342" s="2" t="s">
        <v>3029</v>
      </c>
      <c r="L342" s="2" t="s">
        <v>3030</v>
      </c>
      <c r="M342" s="2"/>
      <c r="N342" s="2"/>
      <c r="O342" s="2" t="s">
        <v>37</v>
      </c>
      <c r="P342" s="2" t="s">
        <v>38</v>
      </c>
      <c r="Q342" s="2"/>
      <c r="R342" s="3" t="n">
        <v>0.92</v>
      </c>
      <c r="S342" s="3" t="n">
        <v>1.2</v>
      </c>
      <c r="T342" s="3" t="n">
        <v>2</v>
      </c>
      <c r="U342" s="2" t="s">
        <v>3031</v>
      </c>
      <c r="V342" s="2" t="s">
        <v>40</v>
      </c>
      <c r="W342" s="2" t="s">
        <v>3032</v>
      </c>
      <c r="X342" s="5" t="s">
        <v>2251</v>
      </c>
      <c r="Y342" s="2" t="n">
        <v>15336618</v>
      </c>
    </row>
    <row r="343" customFormat="false" ht="15" hidden="false" customHeight="false" outlineLevel="0" collapsed="false">
      <c r="A343" s="2" t="s">
        <v>3033</v>
      </c>
      <c r="B343" s="2" t="s">
        <v>3034</v>
      </c>
      <c r="C343" s="2" t="s">
        <v>494</v>
      </c>
      <c r="D343" s="2" t="s">
        <v>3035</v>
      </c>
      <c r="E343" s="2" t="s">
        <v>244</v>
      </c>
      <c r="F343" s="2" t="s">
        <v>3036</v>
      </c>
      <c r="G343" s="2" t="s">
        <v>1879</v>
      </c>
      <c r="H343" s="2" t="s">
        <v>3037</v>
      </c>
      <c r="I343" s="2" t="s">
        <v>3038</v>
      </c>
      <c r="J343" s="2" t="s">
        <v>3039</v>
      </c>
      <c r="K343" s="2" t="s">
        <v>3040</v>
      </c>
      <c r="L343" s="2" t="s">
        <v>3041</v>
      </c>
      <c r="M343" s="2"/>
      <c r="N343" s="2"/>
      <c r="O343" s="2" t="s">
        <v>37</v>
      </c>
      <c r="P343" s="2" t="s">
        <v>38</v>
      </c>
      <c r="Q343" s="2"/>
      <c r="R343" s="3" t="n">
        <v>0.85</v>
      </c>
      <c r="S343" s="3" t="n">
        <v>1.2</v>
      </c>
      <c r="T343" s="3" t="n">
        <v>1.9</v>
      </c>
      <c r="U343" s="2" t="s">
        <v>3042</v>
      </c>
      <c r="V343" s="2" t="s">
        <v>40</v>
      </c>
      <c r="W343" s="2" t="s">
        <v>3032</v>
      </c>
      <c r="X343" s="5" t="s">
        <v>2258</v>
      </c>
      <c r="Y343" s="2" t="n">
        <v>15336611</v>
      </c>
    </row>
    <row r="344" customFormat="false" ht="15" hidden="false" customHeight="false" outlineLevel="0" collapsed="false">
      <c r="A344" s="2" t="s">
        <v>3043</v>
      </c>
      <c r="B344" s="2" t="s">
        <v>3044</v>
      </c>
      <c r="C344" s="2" t="s">
        <v>2017</v>
      </c>
      <c r="D344" s="2" t="s">
        <v>3045</v>
      </c>
      <c r="E344" s="2" t="s">
        <v>255</v>
      </c>
      <c r="F344" s="2" t="s">
        <v>48</v>
      </c>
      <c r="G344" s="2" t="s">
        <v>3046</v>
      </c>
      <c r="H344" s="2" t="s">
        <v>3047</v>
      </c>
      <c r="I344" s="2" t="s">
        <v>3048</v>
      </c>
      <c r="J344" s="2" t="s">
        <v>3049</v>
      </c>
      <c r="K344" s="2" t="s">
        <v>3050</v>
      </c>
      <c r="L344" s="2" t="s">
        <v>841</v>
      </c>
      <c r="M344" s="2"/>
      <c r="N344" s="2"/>
      <c r="O344" s="2" t="s">
        <v>37</v>
      </c>
      <c r="P344" s="2" t="s">
        <v>38</v>
      </c>
      <c r="Q344" s="2"/>
      <c r="R344" s="3" t="n">
        <v>0.95</v>
      </c>
      <c r="S344" s="3" t="n">
        <v>1.2</v>
      </c>
      <c r="T344" s="3" t="n">
        <v>2</v>
      </c>
      <c r="U344" s="2" t="s">
        <v>3051</v>
      </c>
      <c r="V344" s="2" t="s">
        <v>40</v>
      </c>
      <c r="W344" s="2" t="s">
        <v>3032</v>
      </c>
      <c r="X344" s="5" t="s">
        <v>2251</v>
      </c>
      <c r="Y344" s="2" t="n">
        <v>15336608</v>
      </c>
    </row>
    <row r="345" customFormat="false" ht="15" hidden="false" customHeight="false" outlineLevel="0" collapsed="false">
      <c r="A345" s="2" t="s">
        <v>283</v>
      </c>
      <c r="B345" s="2" t="s">
        <v>3052</v>
      </c>
      <c r="C345" s="2" t="s">
        <v>3053</v>
      </c>
      <c r="D345" s="2" t="s">
        <v>3054</v>
      </c>
      <c r="E345" s="2" t="s">
        <v>103</v>
      </c>
      <c r="F345" s="2" t="s">
        <v>165</v>
      </c>
      <c r="G345" s="2" t="s">
        <v>857</v>
      </c>
      <c r="H345" s="2" t="s">
        <v>3055</v>
      </c>
      <c r="I345" s="2" t="s">
        <v>3056</v>
      </c>
      <c r="J345" s="2" t="s">
        <v>3057</v>
      </c>
      <c r="K345" s="2" t="s">
        <v>3058</v>
      </c>
      <c r="L345" s="2" t="s">
        <v>2180</v>
      </c>
      <c r="M345" s="2"/>
      <c r="N345" s="2"/>
      <c r="O345" s="2" t="s">
        <v>37</v>
      </c>
      <c r="P345" s="2" t="s">
        <v>38</v>
      </c>
      <c r="Q345" s="2"/>
      <c r="R345" s="3" t="n">
        <v>0.95</v>
      </c>
      <c r="S345" s="3" t="n">
        <v>1.2</v>
      </c>
      <c r="T345" s="3" t="n">
        <v>2</v>
      </c>
      <c r="U345" s="2" t="s">
        <v>3059</v>
      </c>
      <c r="V345" s="2" t="s">
        <v>40</v>
      </c>
      <c r="W345" s="2" t="s">
        <v>3032</v>
      </c>
      <c r="X345" s="5" t="s">
        <v>2258</v>
      </c>
      <c r="Y345" s="2" t="n">
        <v>15336605</v>
      </c>
    </row>
    <row r="346" customFormat="false" ht="15" hidden="false" customHeight="false" outlineLevel="0" collapsed="false">
      <c r="A346" s="2" t="s">
        <v>3060</v>
      </c>
      <c r="B346" s="2" t="s">
        <v>3061</v>
      </c>
      <c r="C346" s="2" t="s">
        <v>3062</v>
      </c>
      <c r="D346" s="2" t="s">
        <v>3063</v>
      </c>
      <c r="E346" s="2" t="s">
        <v>103</v>
      </c>
      <c r="F346" s="2" t="s">
        <v>165</v>
      </c>
      <c r="G346" s="2" t="s">
        <v>505</v>
      </c>
      <c r="H346" s="2" t="s">
        <v>3064</v>
      </c>
      <c r="I346" s="2" t="s">
        <v>3065</v>
      </c>
      <c r="J346" s="2" t="s">
        <v>3066</v>
      </c>
      <c r="K346" s="2" t="s">
        <v>3067</v>
      </c>
      <c r="L346" s="2" t="s">
        <v>3068</v>
      </c>
      <c r="M346" s="2"/>
      <c r="N346" s="2"/>
      <c r="O346" s="2" t="s">
        <v>37</v>
      </c>
      <c r="P346" s="2" t="s">
        <v>38</v>
      </c>
      <c r="Q346" s="2"/>
      <c r="R346" s="3" t="n">
        <v>0.97</v>
      </c>
      <c r="S346" s="3" t="n">
        <v>1.2</v>
      </c>
      <c r="T346" s="3" t="n">
        <v>2.1</v>
      </c>
      <c r="U346" s="2" t="s">
        <v>3069</v>
      </c>
      <c r="V346" s="2" t="s">
        <v>40</v>
      </c>
      <c r="W346" s="2" t="s">
        <v>3032</v>
      </c>
      <c r="X346" s="5" t="s">
        <v>2251</v>
      </c>
      <c r="Y346" s="2" t="n">
        <v>15336598</v>
      </c>
    </row>
    <row r="347" customFormat="false" ht="15" hidden="false" customHeight="false" outlineLevel="0" collapsed="false">
      <c r="A347" s="2" t="s">
        <v>3070</v>
      </c>
      <c r="B347" s="2" t="s">
        <v>3071</v>
      </c>
      <c r="C347" s="2" t="s">
        <v>3072</v>
      </c>
      <c r="D347" s="2" t="s">
        <v>3073</v>
      </c>
      <c r="E347" s="2" t="s">
        <v>103</v>
      </c>
      <c r="F347" s="2" t="s">
        <v>30</v>
      </c>
      <c r="G347" s="2" t="s">
        <v>287</v>
      </c>
      <c r="H347" s="2" t="s">
        <v>3074</v>
      </c>
      <c r="I347" s="2" t="s">
        <v>3075</v>
      </c>
      <c r="J347" s="2" t="s">
        <v>3076</v>
      </c>
      <c r="K347" s="2" t="s">
        <v>3077</v>
      </c>
      <c r="L347" s="2" t="s">
        <v>1582</v>
      </c>
      <c r="M347" s="2"/>
      <c r="N347" s="2"/>
      <c r="O347" s="2" t="s">
        <v>37</v>
      </c>
      <c r="P347" s="2" t="s">
        <v>38</v>
      </c>
      <c r="Q347" s="2"/>
      <c r="R347" s="3" t="n">
        <v>0.96</v>
      </c>
      <c r="S347" s="3" t="n">
        <v>1.2</v>
      </c>
      <c r="T347" s="3" t="n">
        <v>2</v>
      </c>
      <c r="U347" s="2" t="s">
        <v>3059</v>
      </c>
      <c r="V347" s="2" t="s">
        <v>40</v>
      </c>
      <c r="W347" s="2" t="s">
        <v>3032</v>
      </c>
      <c r="X347" s="5" t="s">
        <v>2258</v>
      </c>
      <c r="Y347" s="2" t="n">
        <v>15336597</v>
      </c>
    </row>
    <row r="348" customFormat="false" ht="15" hidden="false" customHeight="false" outlineLevel="0" collapsed="false">
      <c r="A348" s="2" t="s">
        <v>3078</v>
      </c>
      <c r="B348" s="2" t="s">
        <v>3034</v>
      </c>
      <c r="C348" s="2" t="s">
        <v>45</v>
      </c>
      <c r="D348" s="2" t="s">
        <v>3079</v>
      </c>
      <c r="E348" s="2" t="s">
        <v>47</v>
      </c>
      <c r="F348" s="2" t="s">
        <v>30</v>
      </c>
      <c r="G348" s="2" t="s">
        <v>3080</v>
      </c>
      <c r="H348" s="2" t="s">
        <v>3081</v>
      </c>
      <c r="I348" s="2" t="s">
        <v>3082</v>
      </c>
      <c r="J348" s="2" t="s">
        <v>3083</v>
      </c>
      <c r="K348" s="2"/>
      <c r="L348" s="2" t="s">
        <v>3084</v>
      </c>
      <c r="M348" s="2"/>
      <c r="N348" s="2"/>
      <c r="O348" s="2" t="s">
        <v>37</v>
      </c>
      <c r="P348" s="2" t="s">
        <v>38</v>
      </c>
      <c r="Q348" s="2"/>
      <c r="R348" s="3" t="n">
        <v>0.86</v>
      </c>
      <c r="S348" s="3" t="n">
        <v>1.2</v>
      </c>
      <c r="T348" s="3" t="n">
        <v>1.9</v>
      </c>
      <c r="U348" s="2" t="s">
        <v>3085</v>
      </c>
      <c r="V348" s="2" t="s">
        <v>40</v>
      </c>
      <c r="W348" s="2" t="s">
        <v>3032</v>
      </c>
      <c r="X348" s="5" t="s">
        <v>2251</v>
      </c>
      <c r="Y348" s="2" t="n">
        <v>15336595</v>
      </c>
    </row>
    <row r="349" customFormat="false" ht="15" hidden="false" customHeight="false" outlineLevel="0" collapsed="false">
      <c r="A349" s="2" t="s">
        <v>991</v>
      </c>
      <c r="B349" s="2" t="s">
        <v>3086</v>
      </c>
      <c r="C349" s="2" t="s">
        <v>1660</v>
      </c>
      <c r="D349" s="2" t="s">
        <v>3087</v>
      </c>
      <c r="E349" s="2" t="s">
        <v>103</v>
      </c>
      <c r="F349" s="2" t="s">
        <v>165</v>
      </c>
      <c r="G349" s="2" t="s">
        <v>836</v>
      </c>
      <c r="H349" s="2" t="s">
        <v>3088</v>
      </c>
      <c r="I349" s="2" t="s">
        <v>3089</v>
      </c>
      <c r="J349" s="2" t="s">
        <v>3090</v>
      </c>
      <c r="K349" s="6" t="s">
        <v>3091</v>
      </c>
      <c r="L349" s="2" t="s">
        <v>3092</v>
      </c>
      <c r="M349" s="2"/>
      <c r="N349" s="2"/>
      <c r="O349" s="2" t="s">
        <v>37</v>
      </c>
      <c r="P349" s="2" t="s">
        <v>38</v>
      </c>
      <c r="Q349" s="2"/>
      <c r="R349" s="3" t="n">
        <v>0.85</v>
      </c>
      <c r="S349" s="3" t="n">
        <v>1.2</v>
      </c>
      <c r="T349" s="3" t="n">
        <v>1.9</v>
      </c>
      <c r="U349" s="2" t="s">
        <v>3093</v>
      </c>
      <c r="V349" s="2" t="s">
        <v>40</v>
      </c>
      <c r="W349" s="2" t="s">
        <v>3032</v>
      </c>
      <c r="X349" s="5" t="s">
        <v>2258</v>
      </c>
      <c r="Y349" s="2" t="n">
        <v>15336587</v>
      </c>
    </row>
    <row r="350" customFormat="false" ht="15" hidden="false" customHeight="false" outlineLevel="0" collapsed="false">
      <c r="A350" s="2" t="s">
        <v>1100</v>
      </c>
      <c r="B350" s="2" t="s">
        <v>3094</v>
      </c>
      <c r="C350" s="2" t="s">
        <v>3095</v>
      </c>
      <c r="D350" s="2" t="s">
        <v>3096</v>
      </c>
      <c r="E350" s="2" t="s">
        <v>244</v>
      </c>
      <c r="F350" s="2" t="s">
        <v>165</v>
      </c>
      <c r="G350" s="2" t="s">
        <v>3097</v>
      </c>
      <c r="H350" s="2" t="s">
        <v>3098</v>
      </c>
      <c r="I350" s="2" t="s">
        <v>3099</v>
      </c>
      <c r="J350" s="2" t="s">
        <v>3100</v>
      </c>
      <c r="K350" s="2" t="s">
        <v>3101</v>
      </c>
      <c r="L350" s="2" t="s">
        <v>3102</v>
      </c>
      <c r="M350" s="2"/>
      <c r="N350" s="2"/>
      <c r="O350" s="2" t="s">
        <v>37</v>
      </c>
      <c r="P350" s="2" t="s">
        <v>38</v>
      </c>
      <c r="Q350" s="2"/>
      <c r="R350" s="3" t="n">
        <v>0.95</v>
      </c>
      <c r="S350" s="3" t="n">
        <v>1.2</v>
      </c>
      <c r="T350" s="3" t="n">
        <v>2</v>
      </c>
      <c r="U350" s="2" t="s">
        <v>3103</v>
      </c>
      <c r="V350" s="2" t="s">
        <v>40</v>
      </c>
      <c r="W350" s="2" t="s">
        <v>3032</v>
      </c>
      <c r="X350" s="5" t="s">
        <v>2251</v>
      </c>
      <c r="Y350" s="2" t="n">
        <v>15336584</v>
      </c>
    </row>
    <row r="351" customFormat="false" ht="15" hidden="false" customHeight="false" outlineLevel="0" collapsed="false">
      <c r="A351" s="2" t="s">
        <v>208</v>
      </c>
      <c r="B351" s="2" t="s">
        <v>3104</v>
      </c>
      <c r="C351" s="2" t="s">
        <v>1895</v>
      </c>
      <c r="D351" s="2" t="s">
        <v>3105</v>
      </c>
      <c r="E351" s="2" t="s">
        <v>103</v>
      </c>
      <c r="F351" s="2" t="s">
        <v>30</v>
      </c>
      <c r="G351" s="2" t="s">
        <v>330</v>
      </c>
      <c r="H351" s="2" t="s">
        <v>3106</v>
      </c>
      <c r="I351" s="2" t="s">
        <v>3107</v>
      </c>
      <c r="J351" s="2" t="s">
        <v>3108</v>
      </c>
      <c r="K351" s="2" t="s">
        <v>3109</v>
      </c>
      <c r="L351" s="2" t="s">
        <v>3110</v>
      </c>
      <c r="M351" s="2"/>
      <c r="N351" s="2"/>
      <c r="O351" s="2" t="s">
        <v>37</v>
      </c>
      <c r="P351" s="2" t="s">
        <v>38</v>
      </c>
      <c r="Q351" s="2"/>
      <c r="R351" s="3" t="n">
        <v>0.96</v>
      </c>
      <c r="S351" s="3" t="n">
        <v>1.2</v>
      </c>
      <c r="T351" s="3" t="n">
        <v>2</v>
      </c>
      <c r="U351" s="2" t="s">
        <v>3111</v>
      </c>
      <c r="V351" s="2" t="s">
        <v>40</v>
      </c>
      <c r="W351" s="2" t="s">
        <v>3032</v>
      </c>
      <c r="X351" s="5" t="s">
        <v>2258</v>
      </c>
      <c r="Y351" s="2" t="n">
        <v>15336582</v>
      </c>
    </row>
    <row r="352" customFormat="false" ht="15" hidden="false" customHeight="false" outlineLevel="0" collapsed="false">
      <c r="A352" s="2" t="s">
        <v>2644</v>
      </c>
      <c r="B352" s="2" t="s">
        <v>3112</v>
      </c>
      <c r="C352" s="2" t="s">
        <v>1660</v>
      </c>
      <c r="D352" s="2" t="s">
        <v>3113</v>
      </c>
      <c r="E352" s="2" t="s">
        <v>103</v>
      </c>
      <c r="F352" s="2" t="s">
        <v>165</v>
      </c>
      <c r="G352" s="2" t="s">
        <v>3114</v>
      </c>
      <c r="H352" s="2" t="s">
        <v>3115</v>
      </c>
      <c r="I352" s="2" t="s">
        <v>3116</v>
      </c>
      <c r="J352" s="2" t="s">
        <v>3117</v>
      </c>
      <c r="K352" s="2" t="s">
        <v>3118</v>
      </c>
      <c r="L352" s="2" t="s">
        <v>1668</v>
      </c>
      <c r="M352" s="2"/>
      <c r="N352" s="2"/>
      <c r="O352" s="2" t="s">
        <v>37</v>
      </c>
      <c r="P352" s="2" t="s">
        <v>38</v>
      </c>
      <c r="Q352" s="2"/>
      <c r="R352" s="3" t="n">
        <v>0.92</v>
      </c>
      <c r="S352" s="3" t="n">
        <v>1.2</v>
      </c>
      <c r="T352" s="3" t="n">
        <v>2</v>
      </c>
      <c r="U352" s="2" t="s">
        <v>3119</v>
      </c>
      <c r="V352" s="2" t="s">
        <v>40</v>
      </c>
      <c r="W352" s="2" t="s">
        <v>3032</v>
      </c>
      <c r="X352" s="5" t="s">
        <v>2251</v>
      </c>
      <c r="Y352" s="2" t="n">
        <v>15336575</v>
      </c>
    </row>
    <row r="353" customFormat="false" ht="15" hidden="false" customHeight="false" outlineLevel="0" collapsed="false">
      <c r="A353" s="2" t="s">
        <v>1550</v>
      </c>
      <c r="B353" s="2" t="s">
        <v>3120</v>
      </c>
      <c r="C353" s="2" t="s">
        <v>1660</v>
      </c>
      <c r="D353" s="2" t="s">
        <v>3121</v>
      </c>
      <c r="E353" s="2" t="s">
        <v>103</v>
      </c>
      <c r="F353" s="2" t="s">
        <v>165</v>
      </c>
      <c r="G353" s="2" t="s">
        <v>3122</v>
      </c>
      <c r="H353" s="2" t="s">
        <v>3123</v>
      </c>
      <c r="I353" s="2" t="s">
        <v>3124</v>
      </c>
      <c r="J353" s="2" t="s">
        <v>3125</v>
      </c>
      <c r="K353" s="2" t="s">
        <v>3126</v>
      </c>
      <c r="L353" s="2" t="s">
        <v>238</v>
      </c>
      <c r="M353" s="2"/>
      <c r="N353" s="2"/>
      <c r="O353" s="2" t="s">
        <v>37</v>
      </c>
      <c r="P353" s="2" t="s">
        <v>38</v>
      </c>
      <c r="Q353" s="2"/>
      <c r="R353" s="3" t="n">
        <v>0.97</v>
      </c>
      <c r="S353" s="3" t="n">
        <v>1.2</v>
      </c>
      <c r="T353" s="3" t="n">
        <v>2.1</v>
      </c>
      <c r="U353" s="2" t="s">
        <v>3127</v>
      </c>
      <c r="V353" s="2" t="s">
        <v>40</v>
      </c>
      <c r="W353" s="2" t="s">
        <v>3032</v>
      </c>
      <c r="X353" s="5" t="s">
        <v>2258</v>
      </c>
      <c r="Y353" s="2" t="n">
        <v>15336573</v>
      </c>
    </row>
    <row r="354" customFormat="false" ht="15" hidden="false" customHeight="false" outlineLevel="0" collapsed="false">
      <c r="A354" s="2" t="s">
        <v>3128</v>
      </c>
      <c r="B354" s="2" t="s">
        <v>3129</v>
      </c>
      <c r="C354" s="2" t="s">
        <v>3130</v>
      </c>
      <c r="D354" s="2" t="s">
        <v>3131</v>
      </c>
      <c r="E354" s="2" t="s">
        <v>244</v>
      </c>
      <c r="F354" s="2" t="s">
        <v>165</v>
      </c>
      <c r="G354" s="2" t="s">
        <v>287</v>
      </c>
      <c r="H354" s="2" t="s">
        <v>3132</v>
      </c>
      <c r="I354" s="2" t="s">
        <v>3133</v>
      </c>
      <c r="J354" s="2" t="s">
        <v>3134</v>
      </c>
      <c r="K354" s="2" t="s">
        <v>3135</v>
      </c>
      <c r="L354" s="2" t="s">
        <v>2474</v>
      </c>
      <c r="M354" s="2"/>
      <c r="N354" s="2"/>
      <c r="O354" s="2" t="s">
        <v>37</v>
      </c>
      <c r="P354" s="2" t="s">
        <v>38</v>
      </c>
      <c r="Q354" s="2"/>
      <c r="R354" s="3" t="n">
        <v>0.96</v>
      </c>
      <c r="S354" s="3" t="n">
        <v>1.2</v>
      </c>
      <c r="T354" s="3" t="n">
        <v>2</v>
      </c>
      <c r="U354" s="2" t="s">
        <v>3136</v>
      </c>
      <c r="V354" s="2" t="s">
        <v>40</v>
      </c>
      <c r="W354" s="2" t="s">
        <v>3032</v>
      </c>
      <c r="X354" s="5" t="s">
        <v>2251</v>
      </c>
      <c r="Y354" s="2" t="n">
        <v>15336572</v>
      </c>
    </row>
    <row r="355" customFormat="false" ht="15" hidden="false" customHeight="false" outlineLevel="0" collapsed="false">
      <c r="A355" s="2" t="s">
        <v>1144</v>
      </c>
      <c r="B355" s="2" t="s">
        <v>3137</v>
      </c>
      <c r="C355" s="2" t="s">
        <v>3138</v>
      </c>
      <c r="D355" s="2" t="s">
        <v>3139</v>
      </c>
      <c r="E355" s="2" t="s">
        <v>103</v>
      </c>
      <c r="F355" s="2" t="s">
        <v>165</v>
      </c>
      <c r="G355" s="2" t="s">
        <v>836</v>
      </c>
      <c r="H355" s="2" t="s">
        <v>3140</v>
      </c>
      <c r="I355" s="2" t="s">
        <v>3141</v>
      </c>
      <c r="J355" s="2" t="s">
        <v>3142</v>
      </c>
      <c r="K355" s="2" t="s">
        <v>3143</v>
      </c>
      <c r="L355" s="2" t="s">
        <v>2889</v>
      </c>
      <c r="M355" s="2"/>
      <c r="N355" s="2"/>
      <c r="O355" s="2" t="s">
        <v>1440</v>
      </c>
      <c r="P355" s="2" t="s">
        <v>2457</v>
      </c>
      <c r="Q355" s="2" t="s">
        <v>1442</v>
      </c>
      <c r="R355" s="3" t="n">
        <v>0.81</v>
      </c>
      <c r="S355" s="3" t="n">
        <v>1.1</v>
      </c>
      <c r="T355" s="3" t="n">
        <v>1.8</v>
      </c>
      <c r="U355" s="2" t="s">
        <v>3144</v>
      </c>
      <c r="V355" s="2" t="s">
        <v>40</v>
      </c>
      <c r="W355" s="2" t="s">
        <v>3145</v>
      </c>
      <c r="X355" s="5" t="s">
        <v>2258</v>
      </c>
      <c r="Y355" s="2" t="n">
        <v>15321916</v>
      </c>
    </row>
    <row r="356" customFormat="false" ht="15" hidden="false" customHeight="false" outlineLevel="0" collapsed="false">
      <c r="A356" s="2" t="s">
        <v>3146</v>
      </c>
      <c r="B356" s="2" t="s">
        <v>3147</v>
      </c>
      <c r="C356" s="2" t="s">
        <v>45</v>
      </c>
      <c r="D356" s="2" t="s">
        <v>2461</v>
      </c>
      <c r="E356" s="2" t="s">
        <v>47</v>
      </c>
      <c r="F356" s="2" t="s">
        <v>165</v>
      </c>
      <c r="G356" s="2" t="s">
        <v>79</v>
      </c>
      <c r="H356" s="2" t="s">
        <v>2462</v>
      </c>
      <c r="I356" s="2" t="s">
        <v>3148</v>
      </c>
      <c r="J356" s="2" t="s">
        <v>2464</v>
      </c>
      <c r="K356" s="2" t="s">
        <v>3149</v>
      </c>
      <c r="L356" s="2" t="s">
        <v>623</v>
      </c>
      <c r="M356" s="2"/>
      <c r="N356" s="2"/>
      <c r="O356" s="2" t="s">
        <v>1440</v>
      </c>
      <c r="P356" s="2" t="s">
        <v>2229</v>
      </c>
      <c r="Q356" s="2" t="s">
        <v>1442</v>
      </c>
      <c r="R356" s="3" t="n">
        <v>0.88</v>
      </c>
      <c r="S356" s="3" t="n">
        <v>1.5</v>
      </c>
      <c r="T356" s="3" t="n">
        <v>2.1</v>
      </c>
      <c r="U356" s="2" t="s">
        <v>3150</v>
      </c>
      <c r="V356" s="2" t="s">
        <v>40</v>
      </c>
      <c r="W356" s="2" t="s">
        <v>3145</v>
      </c>
      <c r="X356" s="5" t="s">
        <v>2251</v>
      </c>
      <c r="Y356" s="2" t="n">
        <v>15321914</v>
      </c>
    </row>
    <row r="357" customFormat="false" ht="15" hidden="false" customHeight="false" outlineLevel="0" collapsed="false">
      <c r="A357" s="2" t="s">
        <v>568</v>
      </c>
      <c r="B357" s="2" t="s">
        <v>3151</v>
      </c>
      <c r="C357" s="2" t="s">
        <v>1660</v>
      </c>
      <c r="D357" s="2" t="s">
        <v>3152</v>
      </c>
      <c r="E357" s="2" t="s">
        <v>47</v>
      </c>
      <c r="F357" s="2" t="s">
        <v>2039</v>
      </c>
      <c r="G357" s="2" t="s">
        <v>211</v>
      </c>
      <c r="H357" s="2" t="s">
        <v>3153</v>
      </c>
      <c r="I357" s="2" t="s">
        <v>3154</v>
      </c>
      <c r="J357" s="2" t="s">
        <v>3155</v>
      </c>
      <c r="K357" s="2" t="s">
        <v>3156</v>
      </c>
      <c r="L357" s="2" t="s">
        <v>1589</v>
      </c>
      <c r="M357" s="2"/>
      <c r="N357" s="2"/>
      <c r="O357" s="2" t="s">
        <v>1440</v>
      </c>
      <c r="P357" s="2" t="s">
        <v>3157</v>
      </c>
      <c r="Q357" s="2" t="s">
        <v>1454</v>
      </c>
      <c r="R357" s="3" t="n">
        <v>0.88</v>
      </c>
      <c r="S357" s="3" t="n">
        <v>1.1</v>
      </c>
      <c r="T357" s="3" t="n">
        <v>1.9</v>
      </c>
      <c r="U357" s="2" t="s">
        <v>3158</v>
      </c>
      <c r="V357" s="2" t="s">
        <v>40</v>
      </c>
      <c r="W357" s="2" t="s">
        <v>3159</v>
      </c>
      <c r="X357" s="5" t="s">
        <v>2258</v>
      </c>
      <c r="Y357" s="2" t="n">
        <v>15304794</v>
      </c>
    </row>
    <row r="358" customFormat="false" ht="15" hidden="false" customHeight="false" outlineLevel="0" collapsed="false">
      <c r="A358" s="2" t="s">
        <v>965</v>
      </c>
      <c r="B358" s="2" t="s">
        <v>3160</v>
      </c>
      <c r="C358" s="2" t="s">
        <v>3161</v>
      </c>
      <c r="D358" s="2" t="s">
        <v>3162</v>
      </c>
      <c r="E358" s="2" t="s">
        <v>90</v>
      </c>
      <c r="F358" s="2" t="s">
        <v>1487</v>
      </c>
      <c r="G358" s="2" t="s">
        <v>399</v>
      </c>
      <c r="H358" s="2" t="s">
        <v>3163</v>
      </c>
      <c r="I358" s="2" t="s">
        <v>3164</v>
      </c>
      <c r="J358" s="2" t="s">
        <v>3165</v>
      </c>
      <c r="K358" s="2" t="s">
        <v>3166</v>
      </c>
      <c r="L358" s="2" t="s">
        <v>3167</v>
      </c>
      <c r="M358" s="2"/>
      <c r="N358" s="2"/>
      <c r="O358" s="2" t="s">
        <v>1440</v>
      </c>
      <c r="P358" s="2" t="s">
        <v>3168</v>
      </c>
      <c r="Q358" s="2" t="s">
        <v>1454</v>
      </c>
      <c r="R358" s="3" t="n">
        <v>0.91</v>
      </c>
      <c r="S358" s="3" t="n">
        <v>1.1</v>
      </c>
      <c r="T358" s="3" t="n">
        <v>1.9</v>
      </c>
      <c r="U358" s="2" t="s">
        <v>3169</v>
      </c>
      <c r="V358" s="2" t="s">
        <v>40</v>
      </c>
      <c r="W358" s="2" t="s">
        <v>3159</v>
      </c>
      <c r="X358" s="5" t="s">
        <v>2251</v>
      </c>
      <c r="Y358" s="2" t="n">
        <v>15304793</v>
      </c>
    </row>
    <row r="359" customFormat="false" ht="15" hidden="false" customHeight="false" outlineLevel="0" collapsed="false">
      <c r="A359" s="2" t="s">
        <v>2854</v>
      </c>
      <c r="B359" s="2" t="s">
        <v>3170</v>
      </c>
      <c r="C359" s="2" t="s">
        <v>27</v>
      </c>
      <c r="D359" s="2" t="s">
        <v>3171</v>
      </c>
      <c r="E359" s="2" t="s">
        <v>47</v>
      </c>
      <c r="F359" s="2" t="s">
        <v>30</v>
      </c>
      <c r="G359" s="2" t="s">
        <v>49</v>
      </c>
      <c r="H359" s="2" t="s">
        <v>3172</v>
      </c>
      <c r="I359" s="2" t="s">
        <v>3173</v>
      </c>
      <c r="J359" s="2" t="s">
        <v>3174</v>
      </c>
      <c r="K359" s="2" t="s">
        <v>3175</v>
      </c>
      <c r="L359" s="2" t="s">
        <v>3176</v>
      </c>
      <c r="M359" s="2"/>
      <c r="N359" s="2"/>
      <c r="O359" s="2" t="s">
        <v>1440</v>
      </c>
      <c r="P359" s="2" t="s">
        <v>3168</v>
      </c>
      <c r="Q359" s="2" t="s">
        <v>1454</v>
      </c>
      <c r="R359" s="3" t="n">
        <v>0.92</v>
      </c>
      <c r="S359" s="3" t="n">
        <v>1.1</v>
      </c>
      <c r="T359" s="3" t="n">
        <v>1.9</v>
      </c>
      <c r="U359" s="2" t="s">
        <v>3177</v>
      </c>
      <c r="V359" s="2" t="s">
        <v>40</v>
      </c>
      <c r="W359" s="2" t="s">
        <v>3159</v>
      </c>
      <c r="X359" s="5" t="s">
        <v>2258</v>
      </c>
      <c r="Y359" s="2" t="n">
        <v>15304792</v>
      </c>
    </row>
    <row r="360" customFormat="false" ht="15" hidden="false" customHeight="false" outlineLevel="0" collapsed="false">
      <c r="A360" s="2" t="s">
        <v>636</v>
      </c>
      <c r="B360" s="2" t="s">
        <v>3178</v>
      </c>
      <c r="C360" s="2" t="s">
        <v>3179</v>
      </c>
      <c r="D360" s="2" t="s">
        <v>3180</v>
      </c>
      <c r="E360" s="2" t="s">
        <v>47</v>
      </c>
      <c r="F360" s="2" t="s">
        <v>30</v>
      </c>
      <c r="G360" s="2" t="s">
        <v>330</v>
      </c>
      <c r="H360" s="2" t="s">
        <v>3181</v>
      </c>
      <c r="I360" s="2" t="s">
        <v>3182</v>
      </c>
      <c r="J360" s="2" t="s">
        <v>3183</v>
      </c>
      <c r="K360" s="2" t="s">
        <v>3184</v>
      </c>
      <c r="L360" s="2" t="s">
        <v>432</v>
      </c>
      <c r="M360" s="2"/>
      <c r="N360" s="2"/>
      <c r="O360" s="2" t="s">
        <v>1440</v>
      </c>
      <c r="P360" s="2" t="s">
        <v>3168</v>
      </c>
      <c r="Q360" s="2" t="s">
        <v>1454</v>
      </c>
      <c r="R360" s="3" t="n">
        <v>0.96</v>
      </c>
      <c r="S360" s="3" t="n">
        <v>1.1</v>
      </c>
      <c r="T360" s="3" t="n">
        <v>2</v>
      </c>
      <c r="U360" s="2" t="s">
        <v>3185</v>
      </c>
      <c r="V360" s="2" t="s">
        <v>40</v>
      </c>
      <c r="W360" s="2" t="s">
        <v>3159</v>
      </c>
      <c r="X360" s="5" t="s">
        <v>2251</v>
      </c>
      <c r="Y360" s="2" t="n">
        <v>15304791</v>
      </c>
    </row>
    <row r="361" customFormat="false" ht="15" hidden="false" customHeight="false" outlineLevel="0" collapsed="false">
      <c r="A361" s="2" t="s">
        <v>3186</v>
      </c>
      <c r="B361" s="2" t="s">
        <v>3187</v>
      </c>
      <c r="C361" s="2" t="s">
        <v>1660</v>
      </c>
      <c r="D361" s="2" t="s">
        <v>3188</v>
      </c>
      <c r="E361" s="2" t="s">
        <v>47</v>
      </c>
      <c r="F361" s="2" t="s">
        <v>165</v>
      </c>
      <c r="G361" s="2" t="s">
        <v>49</v>
      </c>
      <c r="H361" s="2" t="s">
        <v>3189</v>
      </c>
      <c r="I361" s="2" t="s">
        <v>3190</v>
      </c>
      <c r="J361" s="2" t="s">
        <v>3191</v>
      </c>
      <c r="K361" s="2" t="s">
        <v>3192</v>
      </c>
      <c r="L361" s="2" t="s">
        <v>3193</v>
      </c>
      <c r="M361" s="2"/>
      <c r="N361" s="2"/>
      <c r="O361" s="2" t="s">
        <v>1440</v>
      </c>
      <c r="P361" s="2" t="s">
        <v>3168</v>
      </c>
      <c r="Q361" s="2" t="s">
        <v>1454</v>
      </c>
      <c r="R361" s="3" t="n">
        <v>0.9</v>
      </c>
      <c r="S361" s="3" t="n">
        <v>1.1</v>
      </c>
      <c r="T361" s="3" t="n">
        <v>1.9</v>
      </c>
      <c r="U361" s="2" t="s">
        <v>3194</v>
      </c>
      <c r="V361" s="2" t="s">
        <v>40</v>
      </c>
      <c r="W361" s="2" t="s">
        <v>3159</v>
      </c>
      <c r="X361" s="5" t="s">
        <v>2258</v>
      </c>
      <c r="Y361" s="2" t="n">
        <v>15304790</v>
      </c>
    </row>
    <row r="362" customFormat="false" ht="15" hidden="false" customHeight="false" outlineLevel="0" collapsed="false">
      <c r="A362" s="2" t="s">
        <v>3195</v>
      </c>
      <c r="B362" s="2" t="s">
        <v>3196</v>
      </c>
      <c r="C362" s="2" t="s">
        <v>3197</v>
      </c>
      <c r="D362" s="2" t="s">
        <v>3198</v>
      </c>
      <c r="E362" s="2" t="s">
        <v>58</v>
      </c>
      <c r="F362" s="2" t="s">
        <v>30</v>
      </c>
      <c r="G362" s="2" t="s">
        <v>3199</v>
      </c>
      <c r="H362" s="2" t="s">
        <v>3200</v>
      </c>
      <c r="I362" s="2" t="s">
        <v>3201</v>
      </c>
      <c r="J362" s="2" t="s">
        <v>3202</v>
      </c>
      <c r="K362" s="2" t="s">
        <v>3203</v>
      </c>
      <c r="L362" s="2" t="s">
        <v>2085</v>
      </c>
      <c r="M362" s="2"/>
      <c r="N362" s="2"/>
      <c r="O362" s="2" t="s">
        <v>1440</v>
      </c>
      <c r="P362" s="2" t="s">
        <v>3168</v>
      </c>
      <c r="Q362" s="2" t="s">
        <v>1454</v>
      </c>
      <c r="R362" s="3" t="n">
        <v>0.91</v>
      </c>
      <c r="S362" s="3" t="n">
        <v>1.1</v>
      </c>
      <c r="T362" s="3" t="n">
        <v>1.9</v>
      </c>
      <c r="U362" s="2" t="s">
        <v>3204</v>
      </c>
      <c r="V362" s="2" t="s">
        <v>40</v>
      </c>
      <c r="W362" s="2" t="s">
        <v>3159</v>
      </c>
      <c r="X362" s="5" t="s">
        <v>2251</v>
      </c>
      <c r="Y362" s="2" t="n">
        <v>15304789</v>
      </c>
    </row>
    <row r="363" customFormat="false" ht="15" hidden="false" customHeight="false" outlineLevel="0" collapsed="false">
      <c r="A363" s="2" t="s">
        <v>3205</v>
      </c>
      <c r="B363" s="2" t="s">
        <v>3206</v>
      </c>
      <c r="C363" s="2" t="s">
        <v>3207</v>
      </c>
      <c r="D363" s="2" t="s">
        <v>3208</v>
      </c>
      <c r="E363" s="2" t="s">
        <v>90</v>
      </c>
      <c r="F363" s="2" t="s">
        <v>1782</v>
      </c>
      <c r="G363" s="2" t="s">
        <v>59</v>
      </c>
      <c r="H363" s="2"/>
      <c r="I363" s="2" t="s">
        <v>3209</v>
      </c>
      <c r="J363" s="2" t="s">
        <v>3210</v>
      </c>
      <c r="K363" s="2" t="s">
        <v>3211</v>
      </c>
      <c r="L363" s="2" t="s">
        <v>3212</v>
      </c>
      <c r="M363" s="2"/>
      <c r="N363" s="2"/>
      <c r="O363" s="2" t="s">
        <v>1440</v>
      </c>
      <c r="P363" s="2" t="s">
        <v>2484</v>
      </c>
      <c r="Q363" s="2" t="s">
        <v>1454</v>
      </c>
      <c r="R363" s="3" t="n">
        <v>0.81</v>
      </c>
      <c r="S363" s="3" t="n">
        <v>1.1</v>
      </c>
      <c r="T363" s="3" t="n">
        <v>1.8</v>
      </c>
      <c r="U363" s="2" t="s">
        <v>3213</v>
      </c>
      <c r="V363" s="2" t="s">
        <v>40</v>
      </c>
      <c r="W363" s="2" t="s">
        <v>3159</v>
      </c>
      <c r="X363" s="5" t="s">
        <v>2258</v>
      </c>
      <c r="Y363" s="2" t="n">
        <v>15304788</v>
      </c>
    </row>
    <row r="364" customFormat="false" ht="15" hidden="false" customHeight="false" outlineLevel="0" collapsed="false">
      <c r="A364" s="2" t="s">
        <v>3214</v>
      </c>
      <c r="B364" s="2" t="s">
        <v>3215</v>
      </c>
      <c r="C364" s="2" t="s">
        <v>2095</v>
      </c>
      <c r="D364" s="2" t="s">
        <v>3216</v>
      </c>
      <c r="E364" s="2"/>
      <c r="F364" s="2" t="s">
        <v>1460</v>
      </c>
      <c r="G364" s="2" t="s">
        <v>59</v>
      </c>
      <c r="H364" s="2"/>
      <c r="I364" s="2" t="s">
        <v>3217</v>
      </c>
      <c r="J364" s="2"/>
      <c r="K364" s="6" t="s">
        <v>3218</v>
      </c>
      <c r="L364" s="2" t="s">
        <v>1668</v>
      </c>
      <c r="M364" s="2"/>
      <c r="N364" s="2"/>
      <c r="O364" s="2" t="s">
        <v>1466</v>
      </c>
      <c r="P364" s="2" t="s">
        <v>1467</v>
      </c>
      <c r="Q364" s="2"/>
      <c r="R364" s="3" t="n">
        <v>0.82</v>
      </c>
      <c r="S364" s="3" t="n">
        <v>1</v>
      </c>
      <c r="T364" s="3" t="n">
        <v>1.7</v>
      </c>
      <c r="U364" s="2"/>
      <c r="V364" s="2" t="s">
        <v>40</v>
      </c>
      <c r="W364" s="2" t="s">
        <v>3219</v>
      </c>
      <c r="X364" s="5" t="s">
        <v>2251</v>
      </c>
      <c r="Y364" s="2" t="n">
        <v>15294208</v>
      </c>
    </row>
    <row r="365" customFormat="false" ht="15" hidden="false" customHeight="false" outlineLevel="0" collapsed="false">
      <c r="A365" s="2" t="s">
        <v>3220</v>
      </c>
      <c r="B365" s="2" t="s">
        <v>3221</v>
      </c>
      <c r="C365" s="2" t="s">
        <v>3222</v>
      </c>
      <c r="D365" s="2" t="s">
        <v>3223</v>
      </c>
      <c r="E365" s="2" t="s">
        <v>103</v>
      </c>
      <c r="F365" s="2" t="s">
        <v>165</v>
      </c>
      <c r="G365" s="2" t="s">
        <v>287</v>
      </c>
      <c r="H365" s="2" t="s">
        <v>3224</v>
      </c>
      <c r="I365" s="2" t="s">
        <v>3225</v>
      </c>
      <c r="J365" s="2" t="s">
        <v>3226</v>
      </c>
      <c r="K365" s="2" t="s">
        <v>3227</v>
      </c>
      <c r="L365" s="2" t="s">
        <v>623</v>
      </c>
      <c r="M365" s="2"/>
      <c r="N365" s="2"/>
      <c r="O365" s="2" t="s">
        <v>1466</v>
      </c>
      <c r="P365" s="2" t="s">
        <v>1467</v>
      </c>
      <c r="Q365" s="2"/>
      <c r="R365" s="3" t="n">
        <v>0.91</v>
      </c>
      <c r="S365" s="3" t="n">
        <v>1</v>
      </c>
      <c r="T365" s="3" t="n">
        <v>1.9</v>
      </c>
      <c r="U365" s="2"/>
      <c r="V365" s="2" t="s">
        <v>40</v>
      </c>
      <c r="W365" s="2" t="s">
        <v>3219</v>
      </c>
      <c r="X365" s="5" t="s">
        <v>2258</v>
      </c>
      <c r="Y365" s="2" t="n">
        <v>15294206</v>
      </c>
    </row>
    <row r="366" customFormat="false" ht="15" hidden="false" customHeight="false" outlineLevel="0" collapsed="false">
      <c r="A366" s="2" t="s">
        <v>2037</v>
      </c>
      <c r="B366" s="2" t="s">
        <v>3228</v>
      </c>
      <c r="C366" s="2" t="s">
        <v>3229</v>
      </c>
      <c r="D366" s="2" t="s">
        <v>3230</v>
      </c>
      <c r="E366" s="2" t="s">
        <v>255</v>
      </c>
      <c r="F366" s="2" t="s">
        <v>1460</v>
      </c>
      <c r="G366" s="2" t="s">
        <v>3231</v>
      </c>
      <c r="H366" s="2" t="s">
        <v>3232</v>
      </c>
      <c r="I366" s="2" t="s">
        <v>3233</v>
      </c>
      <c r="J366" s="2" t="s">
        <v>3234</v>
      </c>
      <c r="K366" s="2" t="s">
        <v>3235</v>
      </c>
      <c r="L366" s="2" t="s">
        <v>1298</v>
      </c>
      <c r="M366" s="2"/>
      <c r="N366" s="2"/>
      <c r="O366" s="2" t="s">
        <v>1466</v>
      </c>
      <c r="P366" s="2" t="s">
        <v>1467</v>
      </c>
      <c r="Q366" s="2"/>
      <c r="R366" s="3" t="n">
        <v>0.91</v>
      </c>
      <c r="S366" s="3" t="n">
        <v>1</v>
      </c>
      <c r="T366" s="3" t="n">
        <v>1.9</v>
      </c>
      <c r="U366" s="2"/>
      <c r="V366" s="2" t="s">
        <v>40</v>
      </c>
      <c r="W366" s="2" t="s">
        <v>3219</v>
      </c>
      <c r="X366" s="5" t="s">
        <v>2251</v>
      </c>
      <c r="Y366" s="2" t="n">
        <v>15294204</v>
      </c>
    </row>
    <row r="367" customFormat="false" ht="15" hidden="false" customHeight="false" outlineLevel="0" collapsed="false">
      <c r="A367" s="2" t="s">
        <v>3236</v>
      </c>
      <c r="B367" s="2" t="s">
        <v>3237</v>
      </c>
      <c r="C367" s="2" t="s">
        <v>27</v>
      </c>
      <c r="D367" s="2" t="s">
        <v>3238</v>
      </c>
      <c r="E367" s="2" t="s">
        <v>58</v>
      </c>
      <c r="F367" s="2" t="s">
        <v>30</v>
      </c>
      <c r="G367" s="2" t="s">
        <v>3239</v>
      </c>
      <c r="H367" s="2" t="s">
        <v>3240</v>
      </c>
      <c r="I367" s="2" t="s">
        <v>3241</v>
      </c>
      <c r="J367" s="2" t="s">
        <v>3242</v>
      </c>
      <c r="K367" s="2" t="s">
        <v>3243</v>
      </c>
      <c r="L367" s="2" t="s">
        <v>74</v>
      </c>
      <c r="M367" s="2"/>
      <c r="N367" s="2"/>
      <c r="O367" s="2" t="s">
        <v>1466</v>
      </c>
      <c r="P367" s="2" t="s">
        <v>1467</v>
      </c>
      <c r="Q367" s="2"/>
      <c r="R367" s="3" t="n">
        <v>0.92</v>
      </c>
      <c r="S367" s="3" t="n">
        <v>1</v>
      </c>
      <c r="T367" s="3" t="n">
        <v>1.9</v>
      </c>
      <c r="U367" s="2"/>
      <c r="V367" s="2" t="s">
        <v>40</v>
      </c>
      <c r="W367" s="2" t="s">
        <v>3219</v>
      </c>
      <c r="X367" s="5" t="s">
        <v>2258</v>
      </c>
      <c r="Y367" s="2" t="n">
        <v>15294203</v>
      </c>
    </row>
    <row r="368" customFormat="false" ht="15" hidden="false" customHeight="false" outlineLevel="0" collapsed="false">
      <c r="A368" s="2" t="s">
        <v>423</v>
      </c>
      <c r="B368" s="2" t="s">
        <v>3244</v>
      </c>
      <c r="C368" s="2" t="s">
        <v>3245</v>
      </c>
      <c r="D368" s="2" t="s">
        <v>3246</v>
      </c>
      <c r="E368" s="2" t="s">
        <v>103</v>
      </c>
      <c r="F368" s="2" t="s">
        <v>30</v>
      </c>
      <c r="G368" s="2" t="s">
        <v>330</v>
      </c>
      <c r="H368" s="2" t="s">
        <v>3247</v>
      </c>
      <c r="I368" s="2" t="s">
        <v>3248</v>
      </c>
      <c r="J368" s="2" t="s">
        <v>3249</v>
      </c>
      <c r="K368" s="2" t="s">
        <v>3250</v>
      </c>
      <c r="L368" s="2" t="s">
        <v>3251</v>
      </c>
      <c r="M368" s="2"/>
      <c r="N368" s="2"/>
      <c r="O368" s="2" t="s">
        <v>1466</v>
      </c>
      <c r="P368" s="2" t="s">
        <v>1467</v>
      </c>
      <c r="Q368" s="2"/>
      <c r="R368" s="3" t="n">
        <v>0.94</v>
      </c>
      <c r="S368" s="3" t="n">
        <v>1</v>
      </c>
      <c r="T368" s="3" t="n">
        <v>1.9</v>
      </c>
      <c r="U368" s="2"/>
      <c r="V368" s="2" t="s">
        <v>40</v>
      </c>
      <c r="W368" s="2" t="s">
        <v>3219</v>
      </c>
      <c r="X368" s="5" t="s">
        <v>2251</v>
      </c>
      <c r="Y368" s="2" t="n">
        <v>15294202</v>
      </c>
    </row>
    <row r="369" customFormat="false" ht="15" hidden="false" customHeight="false" outlineLevel="0" collapsed="false">
      <c r="A369" s="2" t="s">
        <v>3252</v>
      </c>
      <c r="B369" s="2" t="s">
        <v>3253</v>
      </c>
      <c r="C369" s="2" t="s">
        <v>3254</v>
      </c>
      <c r="D369" s="2" t="s">
        <v>3255</v>
      </c>
      <c r="E369" s="2" t="s">
        <v>103</v>
      </c>
      <c r="F369" s="2" t="s">
        <v>165</v>
      </c>
      <c r="G369" s="2" t="s">
        <v>3256</v>
      </c>
      <c r="H369" s="2" t="s">
        <v>3257</v>
      </c>
      <c r="I369" s="2" t="s">
        <v>3258</v>
      </c>
      <c r="J369" s="2" t="s">
        <v>3259</v>
      </c>
      <c r="K369" s="2" t="s">
        <v>3260</v>
      </c>
      <c r="L369" s="2" t="s">
        <v>3261</v>
      </c>
      <c r="M369" s="2"/>
      <c r="N369" s="2"/>
      <c r="O369" s="2" t="s">
        <v>1440</v>
      </c>
      <c r="P369" s="2" t="s">
        <v>3262</v>
      </c>
      <c r="Q369" s="2" t="s">
        <v>2654</v>
      </c>
      <c r="R369" s="3" t="n">
        <v>0.93</v>
      </c>
      <c r="S369" s="3" t="n">
        <v>1.1</v>
      </c>
      <c r="T369" s="3" t="n">
        <v>1.9</v>
      </c>
      <c r="U369" s="2" t="s">
        <v>3263</v>
      </c>
      <c r="V369" s="2" t="s">
        <v>40</v>
      </c>
      <c r="W369" s="2" t="s">
        <v>3264</v>
      </c>
      <c r="X369" s="5" t="s">
        <v>2258</v>
      </c>
      <c r="Y369" s="2" t="n">
        <v>15256948</v>
      </c>
    </row>
    <row r="370" customFormat="false" ht="15" hidden="false" customHeight="false" outlineLevel="0" collapsed="false">
      <c r="A370" s="2" t="s">
        <v>3265</v>
      </c>
      <c r="B370" s="2" t="s">
        <v>1534</v>
      </c>
      <c r="C370" s="2" t="s">
        <v>3266</v>
      </c>
      <c r="D370" s="2" t="s">
        <v>3267</v>
      </c>
      <c r="E370" s="2" t="s">
        <v>103</v>
      </c>
      <c r="F370" s="2" t="s">
        <v>30</v>
      </c>
      <c r="G370" s="2" t="s">
        <v>287</v>
      </c>
      <c r="H370" s="2" t="s">
        <v>3268</v>
      </c>
      <c r="I370" s="2" t="s">
        <v>3269</v>
      </c>
      <c r="J370" s="2" t="s">
        <v>3270</v>
      </c>
      <c r="K370" s="2" t="s">
        <v>3271</v>
      </c>
      <c r="L370" s="2" t="s">
        <v>3272</v>
      </c>
      <c r="M370" s="2"/>
      <c r="N370" s="2"/>
      <c r="O370" s="2" t="s">
        <v>1440</v>
      </c>
      <c r="P370" s="2" t="s">
        <v>2605</v>
      </c>
      <c r="Q370" s="2" t="s">
        <v>2606</v>
      </c>
      <c r="R370" s="3" t="n">
        <v>0.94</v>
      </c>
      <c r="S370" s="3" t="n">
        <v>1.5</v>
      </c>
      <c r="T370" s="3" t="n">
        <v>2.2</v>
      </c>
      <c r="U370" s="2" t="s">
        <v>3273</v>
      </c>
      <c r="V370" s="2" t="s">
        <v>40</v>
      </c>
      <c r="W370" s="2" t="s">
        <v>3274</v>
      </c>
      <c r="X370" s="5" t="s">
        <v>2251</v>
      </c>
      <c r="Y370" s="2" t="n">
        <v>15251273</v>
      </c>
    </row>
    <row r="371" customFormat="false" ht="15" hidden="false" customHeight="false" outlineLevel="0" collapsed="false">
      <c r="A371" s="2" t="s">
        <v>3275</v>
      </c>
      <c r="B371" s="2" t="s">
        <v>3276</v>
      </c>
      <c r="C371" s="2" t="s">
        <v>3277</v>
      </c>
      <c r="D371" s="2" t="s">
        <v>3278</v>
      </c>
      <c r="E371" s="2" t="s">
        <v>47</v>
      </c>
      <c r="F371" s="2" t="s">
        <v>3036</v>
      </c>
      <c r="G371" s="2" t="s">
        <v>3279</v>
      </c>
      <c r="H371" s="2" t="s">
        <v>3280</v>
      </c>
      <c r="I371" s="2" t="s">
        <v>3281</v>
      </c>
      <c r="J371" s="2" t="s">
        <v>3282</v>
      </c>
      <c r="K371" s="2" t="s">
        <v>3283</v>
      </c>
      <c r="L371" s="2" t="s">
        <v>3284</v>
      </c>
      <c r="M371" s="2"/>
      <c r="N371" s="2"/>
      <c r="O371" s="2" t="s">
        <v>1440</v>
      </c>
      <c r="P371" s="2" t="s">
        <v>3285</v>
      </c>
      <c r="Q371" s="2" t="s">
        <v>2606</v>
      </c>
      <c r="R371" s="3" t="n">
        <v>0.81</v>
      </c>
      <c r="S371" s="3" t="n">
        <v>1.1</v>
      </c>
      <c r="T371" s="3" t="n">
        <v>1.8</v>
      </c>
      <c r="U371" s="2" t="s">
        <v>3286</v>
      </c>
      <c r="V371" s="2" t="s">
        <v>40</v>
      </c>
      <c r="W371" s="2" t="s">
        <v>3274</v>
      </c>
      <c r="X371" s="5" t="s">
        <v>2258</v>
      </c>
      <c r="Y371" s="2" t="n">
        <v>15251270</v>
      </c>
    </row>
    <row r="372" customFormat="false" ht="15" hidden="false" customHeight="false" outlineLevel="0" collapsed="false">
      <c r="A372" s="2" t="s">
        <v>3287</v>
      </c>
      <c r="B372" s="2" t="s">
        <v>617</v>
      </c>
      <c r="C372" s="2" t="s">
        <v>3288</v>
      </c>
      <c r="D372" s="2" t="s">
        <v>3289</v>
      </c>
      <c r="E372" s="2" t="s">
        <v>47</v>
      </c>
      <c r="F372" s="2" t="s">
        <v>165</v>
      </c>
      <c r="G372" s="2" t="s">
        <v>3290</v>
      </c>
      <c r="H372" s="2" t="s">
        <v>3291</v>
      </c>
      <c r="I372" s="2" t="s">
        <v>3292</v>
      </c>
      <c r="J372" s="2" t="s">
        <v>3293</v>
      </c>
      <c r="K372" s="2" t="s">
        <v>3294</v>
      </c>
      <c r="L372" s="2" t="s">
        <v>3295</v>
      </c>
      <c r="M372" s="2"/>
      <c r="N372" s="2"/>
      <c r="O372" s="2" t="s">
        <v>1669</v>
      </c>
      <c r="P372" s="2" t="s">
        <v>3296</v>
      </c>
      <c r="Q372" s="2" t="s">
        <v>2830</v>
      </c>
      <c r="R372" s="3" t="n">
        <v>0.86</v>
      </c>
      <c r="S372" s="3" t="n">
        <v>1.1</v>
      </c>
      <c r="T372" s="3" t="n">
        <v>1.8</v>
      </c>
      <c r="U372" s="2" t="s">
        <v>3297</v>
      </c>
      <c r="V372" s="2" t="s">
        <v>40</v>
      </c>
      <c r="W372" s="2" t="s">
        <v>3298</v>
      </c>
      <c r="X372" s="5" t="s">
        <v>2251</v>
      </c>
      <c r="Y372" s="2" t="n">
        <v>15198673</v>
      </c>
    </row>
    <row r="373" customFormat="false" ht="15" hidden="false" customHeight="false" outlineLevel="0" collapsed="false">
      <c r="A373" s="2" t="s">
        <v>3299</v>
      </c>
      <c r="B373" s="2" t="s">
        <v>3300</v>
      </c>
      <c r="C373" s="2" t="s">
        <v>2325</v>
      </c>
      <c r="D373" s="2" t="s">
        <v>3301</v>
      </c>
      <c r="E373" s="2" t="s">
        <v>103</v>
      </c>
      <c r="F373" s="2" t="s">
        <v>30</v>
      </c>
      <c r="G373" s="2" t="s">
        <v>2293</v>
      </c>
      <c r="H373" s="2" t="s">
        <v>3302</v>
      </c>
      <c r="I373" s="2" t="s">
        <v>3303</v>
      </c>
      <c r="J373" s="2" t="s">
        <v>3304</v>
      </c>
      <c r="K373" s="2" t="s">
        <v>3305</v>
      </c>
      <c r="L373" s="2" t="s">
        <v>3306</v>
      </c>
      <c r="M373" s="2"/>
      <c r="N373" s="2"/>
      <c r="O373" s="2" t="s">
        <v>1466</v>
      </c>
      <c r="P373" s="2" t="s">
        <v>1467</v>
      </c>
      <c r="Q373" s="2"/>
      <c r="R373" s="3" t="n">
        <v>0.95</v>
      </c>
      <c r="S373" s="3" t="n">
        <v>1</v>
      </c>
      <c r="T373" s="3" t="n">
        <v>1.9</v>
      </c>
      <c r="U373" s="2"/>
      <c r="V373" s="2" t="s">
        <v>40</v>
      </c>
      <c r="W373" s="2" t="s">
        <v>3307</v>
      </c>
      <c r="X373" s="5" t="s">
        <v>2258</v>
      </c>
      <c r="Y373" s="2" t="n">
        <v>15169159</v>
      </c>
    </row>
    <row r="374" customFormat="false" ht="15" hidden="false" customHeight="false" outlineLevel="0" collapsed="false">
      <c r="A374" s="2" t="s">
        <v>3308</v>
      </c>
      <c r="B374" s="2" t="s">
        <v>3309</v>
      </c>
      <c r="C374" s="2" t="s">
        <v>2357</v>
      </c>
      <c r="D374" s="2" t="s">
        <v>3310</v>
      </c>
      <c r="E374" s="2" t="s">
        <v>103</v>
      </c>
      <c r="F374" s="2" t="s">
        <v>30</v>
      </c>
      <c r="G374" s="2" t="s">
        <v>674</v>
      </c>
      <c r="H374" s="2" t="s">
        <v>3311</v>
      </c>
      <c r="I374" s="2" t="s">
        <v>3312</v>
      </c>
      <c r="J374" s="2" t="s">
        <v>3313</v>
      </c>
      <c r="K374" s="2" t="s">
        <v>3314</v>
      </c>
      <c r="L374" s="2" t="s">
        <v>3315</v>
      </c>
      <c r="M374" s="2"/>
      <c r="N374" s="2"/>
      <c r="O374" s="2" t="s">
        <v>1466</v>
      </c>
      <c r="P374" s="2" t="s">
        <v>1467</v>
      </c>
      <c r="Q374" s="2"/>
      <c r="R374" s="3" t="n">
        <v>0.95</v>
      </c>
      <c r="S374" s="3" t="n">
        <v>1</v>
      </c>
      <c r="T374" s="3" t="n">
        <v>1.9</v>
      </c>
      <c r="U374" s="2"/>
      <c r="V374" s="2" t="s">
        <v>40</v>
      </c>
      <c r="W374" s="2" t="s">
        <v>3307</v>
      </c>
      <c r="X374" s="5" t="s">
        <v>2251</v>
      </c>
      <c r="Y374" s="2" t="n">
        <v>15169158</v>
      </c>
    </row>
    <row r="375" customFormat="false" ht="15" hidden="false" customHeight="false" outlineLevel="0" collapsed="false">
      <c r="A375" s="2" t="s">
        <v>3316</v>
      </c>
      <c r="B375" s="2" t="s">
        <v>3317</v>
      </c>
      <c r="C375" s="2" t="s">
        <v>3318</v>
      </c>
      <c r="D375" s="2" t="s">
        <v>3319</v>
      </c>
      <c r="E375" s="2" t="s">
        <v>103</v>
      </c>
      <c r="F375" s="2" t="s">
        <v>2039</v>
      </c>
      <c r="G375" s="2" t="s">
        <v>3320</v>
      </c>
      <c r="H375" s="2" t="s">
        <v>3321</v>
      </c>
      <c r="I375" s="2" t="s">
        <v>3322</v>
      </c>
      <c r="J375" s="2" t="s">
        <v>3323</v>
      </c>
      <c r="K375" s="2" t="s">
        <v>3324</v>
      </c>
      <c r="L375" s="2" t="s">
        <v>3325</v>
      </c>
      <c r="M375" s="2"/>
      <c r="N375" s="2"/>
      <c r="O375" s="2" t="s">
        <v>1466</v>
      </c>
      <c r="P375" s="2" t="s">
        <v>1467</v>
      </c>
      <c r="Q375" s="2"/>
      <c r="R375" s="3" t="n">
        <v>0.95</v>
      </c>
      <c r="S375" s="3" t="n">
        <v>1</v>
      </c>
      <c r="T375" s="3" t="n">
        <v>1.9</v>
      </c>
      <c r="U375" s="2"/>
      <c r="V375" s="2" t="s">
        <v>40</v>
      </c>
      <c r="W375" s="2" t="s">
        <v>3307</v>
      </c>
      <c r="X375" s="5" t="s">
        <v>2258</v>
      </c>
      <c r="Y375" s="2" t="n">
        <v>15169157</v>
      </c>
    </row>
    <row r="376" customFormat="false" ht="15" hidden="false" customHeight="false" outlineLevel="0" collapsed="false">
      <c r="A376" s="2" t="s">
        <v>2150</v>
      </c>
      <c r="B376" s="2" t="s">
        <v>3326</v>
      </c>
      <c r="C376" s="2" t="s">
        <v>3245</v>
      </c>
      <c r="D376" s="2" t="s">
        <v>3327</v>
      </c>
      <c r="E376" s="2" t="s">
        <v>244</v>
      </c>
      <c r="F376" s="2" t="s">
        <v>1460</v>
      </c>
      <c r="G376" s="2" t="s">
        <v>3328</v>
      </c>
      <c r="H376" s="2" t="s">
        <v>3329</v>
      </c>
      <c r="I376" s="2" t="s">
        <v>3330</v>
      </c>
      <c r="J376" s="2" t="s">
        <v>3331</v>
      </c>
      <c r="K376" s="2" t="s">
        <v>3332</v>
      </c>
      <c r="L376" s="2" t="s">
        <v>1777</v>
      </c>
      <c r="M376" s="2"/>
      <c r="N376" s="2"/>
      <c r="O376" s="2" t="s">
        <v>1466</v>
      </c>
      <c r="P376" s="2" t="s">
        <v>1467</v>
      </c>
      <c r="Q376" s="2"/>
      <c r="R376" s="3" t="n">
        <v>0.95</v>
      </c>
      <c r="S376" s="3" t="n">
        <v>1</v>
      </c>
      <c r="T376" s="3" t="n">
        <v>1.9</v>
      </c>
      <c r="U376" s="2"/>
      <c r="V376" s="2" t="s">
        <v>40</v>
      </c>
      <c r="W376" s="2" t="s">
        <v>3307</v>
      </c>
      <c r="X376" s="5" t="s">
        <v>2251</v>
      </c>
      <c r="Y376" s="2" t="n">
        <v>15169156</v>
      </c>
    </row>
    <row r="377" customFormat="false" ht="15" hidden="false" customHeight="false" outlineLevel="0" collapsed="false">
      <c r="A377" s="2" t="s">
        <v>3333</v>
      </c>
      <c r="B377" s="2" t="s">
        <v>3334</v>
      </c>
      <c r="C377" s="2" t="s">
        <v>3335</v>
      </c>
      <c r="D377" s="2" t="s">
        <v>3336</v>
      </c>
      <c r="E377" s="2" t="s">
        <v>255</v>
      </c>
      <c r="F377" s="2" t="s">
        <v>1460</v>
      </c>
      <c r="G377" s="2" t="s">
        <v>2353</v>
      </c>
      <c r="H377" s="2" t="s">
        <v>3337</v>
      </c>
      <c r="I377" s="2" t="s">
        <v>3338</v>
      </c>
      <c r="J377" s="2" t="s">
        <v>3339</v>
      </c>
      <c r="K377" s="2" t="s">
        <v>3340</v>
      </c>
      <c r="L377" s="2" t="s">
        <v>2703</v>
      </c>
      <c r="M377" s="2"/>
      <c r="N377" s="2"/>
      <c r="O377" s="2" t="s">
        <v>1466</v>
      </c>
      <c r="P377" s="2" t="s">
        <v>1467</v>
      </c>
      <c r="Q377" s="2"/>
      <c r="R377" s="3" t="n">
        <v>0.96</v>
      </c>
      <c r="S377" s="3" t="n">
        <v>1</v>
      </c>
      <c r="T377" s="3" t="n">
        <v>1.9</v>
      </c>
      <c r="U377" s="2"/>
      <c r="V377" s="2" t="s">
        <v>40</v>
      </c>
      <c r="W377" s="2" t="s">
        <v>3307</v>
      </c>
      <c r="X377" s="5" t="s">
        <v>2258</v>
      </c>
      <c r="Y377" s="2" t="n">
        <v>15169155</v>
      </c>
    </row>
    <row r="378" customFormat="false" ht="15" hidden="false" customHeight="false" outlineLevel="0" collapsed="false">
      <c r="A378" s="2" t="s">
        <v>3341</v>
      </c>
      <c r="B378" s="2" t="s">
        <v>3342</v>
      </c>
      <c r="C378" s="2" t="s">
        <v>1212</v>
      </c>
      <c r="D378" s="2" t="s">
        <v>3343</v>
      </c>
      <c r="E378" s="2" t="s">
        <v>90</v>
      </c>
      <c r="F378" s="2" t="s">
        <v>1487</v>
      </c>
      <c r="G378" s="2" t="s">
        <v>59</v>
      </c>
      <c r="H378" s="2"/>
      <c r="I378" s="2" t="s">
        <v>3344</v>
      </c>
      <c r="J378" s="2" t="s">
        <v>3345</v>
      </c>
      <c r="K378" s="2" t="s">
        <v>3346</v>
      </c>
      <c r="L378" s="2" t="s">
        <v>2617</v>
      </c>
      <c r="M378" s="2"/>
      <c r="N378" s="2"/>
      <c r="O378" s="2" t="s">
        <v>1466</v>
      </c>
      <c r="P378" s="2" t="s">
        <v>1467</v>
      </c>
      <c r="Q378" s="2"/>
      <c r="R378" s="3" t="n">
        <v>0.96</v>
      </c>
      <c r="S378" s="3" t="n">
        <v>1</v>
      </c>
      <c r="T378" s="3" t="n">
        <v>1.9</v>
      </c>
      <c r="U378" s="2"/>
      <c r="V378" s="2" t="s">
        <v>40</v>
      </c>
      <c r="W378" s="2" t="s">
        <v>3307</v>
      </c>
      <c r="X378" s="5" t="s">
        <v>2251</v>
      </c>
      <c r="Y378" s="2" t="n">
        <v>15169154</v>
      </c>
    </row>
    <row r="379" customFormat="false" ht="15" hidden="false" customHeight="false" outlineLevel="0" collapsed="false">
      <c r="A379" s="2" t="s">
        <v>3347</v>
      </c>
      <c r="B379" s="2" t="s">
        <v>3348</v>
      </c>
      <c r="C379" s="2" t="s">
        <v>3349</v>
      </c>
      <c r="D379" s="2" t="s">
        <v>3350</v>
      </c>
      <c r="E379" s="2" t="s">
        <v>244</v>
      </c>
      <c r="F379" s="2" t="s">
        <v>1460</v>
      </c>
      <c r="G379" s="2" t="s">
        <v>3351</v>
      </c>
      <c r="H379" s="2" t="s">
        <v>3352</v>
      </c>
      <c r="I379" s="2" t="s">
        <v>3353</v>
      </c>
      <c r="J379" s="2" t="s">
        <v>3354</v>
      </c>
      <c r="K379" s="2" t="s">
        <v>3355</v>
      </c>
      <c r="L379" s="2" t="s">
        <v>1582</v>
      </c>
      <c r="M379" s="2"/>
      <c r="N379" s="2"/>
      <c r="O379" s="2" t="s">
        <v>1466</v>
      </c>
      <c r="P379" s="2" t="s">
        <v>1467</v>
      </c>
      <c r="Q379" s="2"/>
      <c r="R379" s="3" t="n">
        <v>1</v>
      </c>
      <c r="S379" s="3" t="n">
        <v>1</v>
      </c>
      <c r="T379" s="3" t="n">
        <v>2</v>
      </c>
      <c r="U379" s="2"/>
      <c r="V379" s="2" t="s">
        <v>40</v>
      </c>
      <c r="W379" s="2" t="s">
        <v>3307</v>
      </c>
      <c r="X379" s="5" t="s">
        <v>2258</v>
      </c>
      <c r="Y379" s="2" t="n">
        <v>15169153</v>
      </c>
    </row>
    <row r="380" customFormat="false" ht="15" hidden="false" customHeight="false" outlineLevel="0" collapsed="false">
      <c r="A380" s="2" t="s">
        <v>3356</v>
      </c>
      <c r="B380" s="2" t="s">
        <v>3357</v>
      </c>
      <c r="C380" s="2" t="s">
        <v>1660</v>
      </c>
      <c r="D380" s="2" t="s">
        <v>3358</v>
      </c>
      <c r="E380" s="2" t="s">
        <v>103</v>
      </c>
      <c r="F380" s="2" t="s">
        <v>165</v>
      </c>
      <c r="G380" s="2" t="s">
        <v>79</v>
      </c>
      <c r="H380" s="2" t="s">
        <v>3359</v>
      </c>
      <c r="I380" s="2" t="s">
        <v>3360</v>
      </c>
      <c r="J380" s="2" t="s">
        <v>3361</v>
      </c>
      <c r="K380" s="2" t="s">
        <v>3362</v>
      </c>
      <c r="L380" s="2" t="s">
        <v>1743</v>
      </c>
      <c r="M380" s="2"/>
      <c r="N380" s="2"/>
      <c r="O380" s="2" t="s">
        <v>1683</v>
      </c>
      <c r="P380" s="2" t="s">
        <v>3363</v>
      </c>
      <c r="Q380" s="2" t="s">
        <v>1685</v>
      </c>
      <c r="R380" s="3" t="n">
        <v>0.89</v>
      </c>
      <c r="S380" s="3" t="n">
        <v>1.1</v>
      </c>
      <c r="T380" s="3" t="n">
        <v>1.9</v>
      </c>
      <c r="U380" s="2" t="s">
        <v>3364</v>
      </c>
      <c r="V380" s="2" t="s">
        <v>40</v>
      </c>
      <c r="W380" s="2" t="s">
        <v>3365</v>
      </c>
      <c r="X380" s="5" t="s">
        <v>2251</v>
      </c>
      <c r="Y380" s="2" t="n">
        <v>15135471</v>
      </c>
    </row>
    <row r="381" customFormat="false" ht="15" hidden="false" customHeight="false" outlineLevel="0" collapsed="false">
      <c r="A381" s="2" t="s">
        <v>3366</v>
      </c>
      <c r="B381" s="2" t="s">
        <v>3367</v>
      </c>
      <c r="C381" s="2" t="s">
        <v>3368</v>
      </c>
      <c r="D381" s="2" t="s">
        <v>3369</v>
      </c>
      <c r="E381" s="2" t="s">
        <v>58</v>
      </c>
      <c r="F381" s="2" t="s">
        <v>48</v>
      </c>
      <c r="G381" s="2" t="s">
        <v>2353</v>
      </c>
      <c r="H381" s="2" t="s">
        <v>3370</v>
      </c>
      <c r="I381" s="2" t="s">
        <v>3371</v>
      </c>
      <c r="J381" s="2" t="s">
        <v>3372</v>
      </c>
      <c r="K381" s="2" t="s">
        <v>3373</v>
      </c>
      <c r="L381" s="2" t="s">
        <v>2547</v>
      </c>
      <c r="M381" s="2"/>
      <c r="N381" s="2"/>
      <c r="O381" s="2" t="s">
        <v>1683</v>
      </c>
      <c r="P381" s="2" t="s">
        <v>3374</v>
      </c>
      <c r="Q381" s="2" t="s">
        <v>1685</v>
      </c>
      <c r="R381" s="3" t="n">
        <v>1</v>
      </c>
      <c r="S381" s="3" t="n">
        <v>1.5</v>
      </c>
      <c r="T381" s="3" t="n">
        <v>2.3</v>
      </c>
      <c r="U381" s="2" t="s">
        <v>3375</v>
      </c>
      <c r="V381" s="2" t="s">
        <v>40</v>
      </c>
      <c r="W381" s="2" t="s">
        <v>3365</v>
      </c>
      <c r="X381" s="5" t="s">
        <v>2258</v>
      </c>
      <c r="Y381" s="2" t="n">
        <v>15135461</v>
      </c>
    </row>
    <row r="382" customFormat="false" ht="15" hidden="false" customHeight="false" outlineLevel="0" collapsed="false">
      <c r="A382" s="2" t="s">
        <v>3376</v>
      </c>
      <c r="B382" s="2" t="s">
        <v>844</v>
      </c>
      <c r="C382" s="2" t="s">
        <v>1660</v>
      </c>
      <c r="D382" s="2" t="s">
        <v>3377</v>
      </c>
      <c r="E382" s="2" t="s">
        <v>2104</v>
      </c>
      <c r="F382" s="2" t="s">
        <v>165</v>
      </c>
      <c r="G382" s="2" t="s">
        <v>2175</v>
      </c>
      <c r="H382" s="2" t="s">
        <v>3378</v>
      </c>
      <c r="I382" s="2" t="s">
        <v>3379</v>
      </c>
      <c r="J382" s="2" t="s">
        <v>3380</v>
      </c>
      <c r="K382" s="2" t="s">
        <v>3381</v>
      </c>
      <c r="L382" s="2" t="s">
        <v>2596</v>
      </c>
      <c r="M382" s="2"/>
      <c r="N382" s="2"/>
      <c r="O382" s="2" t="s">
        <v>1683</v>
      </c>
      <c r="P382" s="2" t="s">
        <v>3374</v>
      </c>
      <c r="Q382" s="2" t="s">
        <v>1685</v>
      </c>
      <c r="R382" s="3" t="n">
        <v>0.83</v>
      </c>
      <c r="S382" s="3" t="n">
        <v>1.5</v>
      </c>
      <c r="T382" s="3" t="n">
        <v>2</v>
      </c>
      <c r="U382" s="2" t="s">
        <v>3382</v>
      </c>
      <c r="V382" s="2" t="s">
        <v>40</v>
      </c>
      <c r="W382" s="2" t="s">
        <v>3365</v>
      </c>
      <c r="X382" s="5" t="s">
        <v>2251</v>
      </c>
      <c r="Y382" s="2" t="n">
        <v>15135459</v>
      </c>
    </row>
    <row r="383" customFormat="false" ht="15" hidden="false" customHeight="false" outlineLevel="0" collapsed="false">
      <c r="A383" s="2" t="s">
        <v>3383</v>
      </c>
      <c r="B383" s="2" t="s">
        <v>3384</v>
      </c>
      <c r="C383" s="2" t="s">
        <v>3385</v>
      </c>
      <c r="D383" s="2" t="s">
        <v>3386</v>
      </c>
      <c r="E383" s="2" t="s">
        <v>255</v>
      </c>
      <c r="F383" s="2" t="s">
        <v>1983</v>
      </c>
      <c r="G383" s="2" t="s">
        <v>287</v>
      </c>
      <c r="H383" s="2" t="s">
        <v>3387</v>
      </c>
      <c r="I383" s="2" t="s">
        <v>3388</v>
      </c>
      <c r="J383" s="2" t="s">
        <v>3389</v>
      </c>
      <c r="K383" s="2" t="s">
        <v>3390</v>
      </c>
      <c r="L383" s="2" t="s">
        <v>3391</v>
      </c>
      <c r="M383" s="2"/>
      <c r="N383" s="2"/>
      <c r="O383" s="2" t="s">
        <v>1683</v>
      </c>
      <c r="P383" s="2" t="s">
        <v>3374</v>
      </c>
      <c r="Q383" s="2" t="s">
        <v>1685</v>
      </c>
      <c r="R383" s="3" t="n">
        <v>0.85</v>
      </c>
      <c r="S383" s="3" t="n">
        <v>1.5</v>
      </c>
      <c r="T383" s="3" t="n">
        <v>2</v>
      </c>
      <c r="U383" s="2" t="s">
        <v>3392</v>
      </c>
      <c r="V383" s="2" t="s">
        <v>40</v>
      </c>
      <c r="W383" s="2" t="s">
        <v>3365</v>
      </c>
      <c r="X383" s="5" t="s">
        <v>2258</v>
      </c>
      <c r="Y383" s="2" t="n">
        <v>15135449</v>
      </c>
    </row>
    <row r="384" customFormat="false" ht="15" hidden="false" customHeight="false" outlineLevel="0" collapsed="false">
      <c r="A384" s="2" t="s">
        <v>3393</v>
      </c>
      <c r="B384" s="2" t="s">
        <v>3394</v>
      </c>
      <c r="C384" s="2" t="s">
        <v>133</v>
      </c>
      <c r="D384" s="2" t="s">
        <v>3395</v>
      </c>
      <c r="E384" s="2" t="s">
        <v>58</v>
      </c>
      <c r="F384" s="2" t="s">
        <v>1739</v>
      </c>
      <c r="G384" s="2" t="s">
        <v>3396</v>
      </c>
      <c r="H384" s="2" t="s">
        <v>3397</v>
      </c>
      <c r="I384" s="2" t="s">
        <v>3398</v>
      </c>
      <c r="J384" s="2" t="s">
        <v>3399</v>
      </c>
      <c r="K384" s="2" t="s">
        <v>3400</v>
      </c>
      <c r="L384" s="2" t="s">
        <v>1605</v>
      </c>
      <c r="M384" s="2"/>
      <c r="N384" s="2"/>
      <c r="O384" s="2" t="s">
        <v>1683</v>
      </c>
      <c r="P384" s="2" t="s">
        <v>3401</v>
      </c>
      <c r="Q384" s="2" t="s">
        <v>1685</v>
      </c>
      <c r="R384" s="3" t="n">
        <v>0.8</v>
      </c>
      <c r="S384" s="3" t="n">
        <v>1.5</v>
      </c>
      <c r="T384" s="3" t="n">
        <v>2</v>
      </c>
      <c r="U384" s="2" t="s">
        <v>3402</v>
      </c>
      <c r="V384" s="2" t="s">
        <v>40</v>
      </c>
      <c r="W384" s="2" t="s">
        <v>3365</v>
      </c>
      <c r="X384" s="5" t="s">
        <v>2251</v>
      </c>
      <c r="Y384" s="2" t="n">
        <v>15135368</v>
      </c>
    </row>
    <row r="385" customFormat="false" ht="15" hidden="false" customHeight="false" outlineLevel="0" collapsed="false">
      <c r="A385" s="2" t="s">
        <v>2310</v>
      </c>
      <c r="B385" s="2" t="s">
        <v>3403</v>
      </c>
      <c r="C385" s="2" t="s">
        <v>3404</v>
      </c>
      <c r="D385" s="2" t="s">
        <v>3405</v>
      </c>
      <c r="E385" s="2" t="s">
        <v>255</v>
      </c>
      <c r="F385" s="2" t="s">
        <v>165</v>
      </c>
      <c r="G385" s="2" t="s">
        <v>3406</v>
      </c>
      <c r="H385" s="2" t="s">
        <v>3407</v>
      </c>
      <c r="I385" s="2" t="s">
        <v>3408</v>
      </c>
      <c r="J385" s="2" t="s">
        <v>3409</v>
      </c>
      <c r="K385" s="2" t="s">
        <v>3410</v>
      </c>
      <c r="L385" s="2" t="s">
        <v>3411</v>
      </c>
      <c r="M385" s="2"/>
      <c r="N385" s="2"/>
      <c r="O385" s="2" t="s">
        <v>1683</v>
      </c>
      <c r="P385" s="2" t="s">
        <v>3412</v>
      </c>
      <c r="Q385" s="2" t="s">
        <v>1685</v>
      </c>
      <c r="R385" s="3" t="n">
        <v>1</v>
      </c>
      <c r="S385" s="3" t="n">
        <v>1.1</v>
      </c>
      <c r="T385" s="3" t="n">
        <v>2.1</v>
      </c>
      <c r="U385" s="2" t="s">
        <v>3413</v>
      </c>
      <c r="V385" s="2" t="s">
        <v>40</v>
      </c>
      <c r="W385" s="2" t="s">
        <v>3365</v>
      </c>
      <c r="X385" s="5" t="s">
        <v>2258</v>
      </c>
      <c r="Y385" s="2" t="n">
        <v>15135367</v>
      </c>
    </row>
    <row r="386" customFormat="false" ht="15" hidden="false" customHeight="false" outlineLevel="0" collapsed="false">
      <c r="A386" s="2" t="s">
        <v>3414</v>
      </c>
      <c r="B386" s="2" t="s">
        <v>3034</v>
      </c>
      <c r="C386" s="2" t="s">
        <v>1660</v>
      </c>
      <c r="D386" s="2" t="s">
        <v>3415</v>
      </c>
      <c r="E386" s="2" t="s">
        <v>90</v>
      </c>
      <c r="F386" s="2" t="s">
        <v>165</v>
      </c>
      <c r="G386" s="2" t="s">
        <v>2536</v>
      </c>
      <c r="H386" s="2" t="s">
        <v>3416</v>
      </c>
      <c r="I386" s="2" t="s">
        <v>3417</v>
      </c>
      <c r="J386" s="2" t="s">
        <v>3418</v>
      </c>
      <c r="K386" s="2" t="s">
        <v>3419</v>
      </c>
      <c r="L386" s="2" t="s">
        <v>3420</v>
      </c>
      <c r="M386" s="2"/>
      <c r="N386" s="2"/>
      <c r="O386" s="2" t="s">
        <v>1683</v>
      </c>
      <c r="P386" s="2" t="s">
        <v>3412</v>
      </c>
      <c r="Q386" s="2" t="s">
        <v>1685</v>
      </c>
      <c r="R386" s="3" t="n">
        <v>1</v>
      </c>
      <c r="S386" s="3" t="n">
        <v>1.1</v>
      </c>
      <c r="T386" s="3" t="n">
        <v>2.1</v>
      </c>
      <c r="U386" s="2" t="s">
        <v>3421</v>
      </c>
      <c r="V386" s="2" t="s">
        <v>40</v>
      </c>
      <c r="W386" s="2" t="s">
        <v>3422</v>
      </c>
      <c r="X386" s="5" t="s">
        <v>2251</v>
      </c>
      <c r="Y386" s="2" t="n">
        <v>15135332</v>
      </c>
    </row>
    <row r="387" customFormat="false" ht="15" hidden="false" customHeight="false" outlineLevel="0" collapsed="false">
      <c r="A387" s="2" t="s">
        <v>3423</v>
      </c>
      <c r="B387" s="2" t="s">
        <v>3424</v>
      </c>
      <c r="C387" s="2" t="s">
        <v>1291</v>
      </c>
      <c r="D387" s="2" t="s">
        <v>3425</v>
      </c>
      <c r="E387" s="2" t="s">
        <v>90</v>
      </c>
      <c r="F387" s="2" t="s">
        <v>1772</v>
      </c>
      <c r="G387" s="2" t="s">
        <v>3426</v>
      </c>
      <c r="H387" s="2" t="s">
        <v>3427</v>
      </c>
      <c r="I387" s="2" t="s">
        <v>3428</v>
      </c>
      <c r="J387" s="2" t="s">
        <v>3429</v>
      </c>
      <c r="K387" s="2" t="s">
        <v>3430</v>
      </c>
      <c r="L387" s="2" t="s">
        <v>3431</v>
      </c>
      <c r="M387" s="2"/>
      <c r="N387" s="2"/>
      <c r="O387" s="2" t="s">
        <v>2665</v>
      </c>
      <c r="P387" s="2" t="s">
        <v>2666</v>
      </c>
      <c r="Q387" s="2" t="s">
        <v>2667</v>
      </c>
      <c r="R387" s="3" t="n">
        <v>0.81</v>
      </c>
      <c r="S387" s="3" t="n">
        <v>1.5</v>
      </c>
      <c r="T387" s="3" t="n">
        <v>2</v>
      </c>
      <c r="U387" s="2" t="s">
        <v>3432</v>
      </c>
      <c r="V387" s="2" t="s">
        <v>40</v>
      </c>
      <c r="W387" s="2" t="s">
        <v>3433</v>
      </c>
      <c r="X387" s="5" t="s">
        <v>2258</v>
      </c>
      <c r="Y387" s="2" t="n">
        <v>15079288</v>
      </c>
    </row>
    <row r="388" customFormat="false" ht="15" hidden="false" customHeight="false" outlineLevel="0" collapsed="false">
      <c r="A388" s="2" t="s">
        <v>3434</v>
      </c>
      <c r="B388" s="2" t="s">
        <v>3435</v>
      </c>
      <c r="C388" s="2" t="s">
        <v>494</v>
      </c>
      <c r="D388" s="2" t="s">
        <v>3436</v>
      </c>
      <c r="E388" s="2" t="s">
        <v>244</v>
      </c>
      <c r="F388" s="2" t="s">
        <v>165</v>
      </c>
      <c r="G388" s="2" t="s">
        <v>3437</v>
      </c>
      <c r="H388" s="2" t="s">
        <v>3438</v>
      </c>
      <c r="I388" s="2" t="s">
        <v>3439</v>
      </c>
      <c r="J388" s="2" t="s">
        <v>3440</v>
      </c>
      <c r="K388" s="2" t="s">
        <v>3441</v>
      </c>
      <c r="L388" s="2" t="s">
        <v>733</v>
      </c>
      <c r="M388" s="2"/>
      <c r="N388" s="2"/>
      <c r="O388" s="2" t="s">
        <v>1683</v>
      </c>
      <c r="P388" s="2" t="s">
        <v>3442</v>
      </c>
      <c r="Q388" s="2" t="s">
        <v>1733</v>
      </c>
      <c r="R388" s="3" t="n">
        <v>0.99</v>
      </c>
      <c r="S388" s="3" t="n">
        <v>1.1</v>
      </c>
      <c r="T388" s="3" t="n">
        <v>2</v>
      </c>
      <c r="U388" s="2" t="s">
        <v>3443</v>
      </c>
      <c r="V388" s="2" t="s">
        <v>40</v>
      </c>
      <c r="W388" s="2" t="s">
        <v>3444</v>
      </c>
      <c r="X388" s="5" t="s">
        <v>2251</v>
      </c>
      <c r="Y388" s="2" t="n">
        <v>15064300</v>
      </c>
    </row>
    <row r="389" customFormat="false" ht="15" hidden="false" customHeight="false" outlineLevel="0" collapsed="false">
      <c r="A389" s="2" t="s">
        <v>1090</v>
      </c>
      <c r="B389" s="2" t="s">
        <v>3445</v>
      </c>
      <c r="C389" s="2" t="s">
        <v>3446</v>
      </c>
      <c r="D389" s="2" t="s">
        <v>3447</v>
      </c>
      <c r="E389" s="2" t="s">
        <v>103</v>
      </c>
      <c r="F389" s="2" t="s">
        <v>165</v>
      </c>
      <c r="G389" s="2" t="s">
        <v>3448</v>
      </c>
      <c r="H389" s="2" t="s">
        <v>3449</v>
      </c>
      <c r="I389" s="2" t="s">
        <v>3450</v>
      </c>
      <c r="J389" s="2" t="s">
        <v>3451</v>
      </c>
      <c r="K389" s="2" t="s">
        <v>3452</v>
      </c>
      <c r="L389" s="2" t="s">
        <v>3453</v>
      </c>
      <c r="M389" s="2"/>
      <c r="N389" s="2"/>
      <c r="O389" s="2" t="s">
        <v>1683</v>
      </c>
      <c r="P389" s="2" t="s">
        <v>3454</v>
      </c>
      <c r="Q389" s="2" t="s">
        <v>1733</v>
      </c>
      <c r="R389" s="3" t="n">
        <v>0.91</v>
      </c>
      <c r="S389" s="3" t="n">
        <v>1.5</v>
      </c>
      <c r="T389" s="3" t="n">
        <v>2.1</v>
      </c>
      <c r="U389" s="2" t="s">
        <v>3455</v>
      </c>
      <c r="V389" s="2" t="s">
        <v>40</v>
      </c>
      <c r="W389" s="2" t="s">
        <v>3444</v>
      </c>
      <c r="X389" s="5" t="s">
        <v>2258</v>
      </c>
      <c r="Y389" s="2" t="n">
        <v>15064299</v>
      </c>
    </row>
    <row r="390" customFormat="false" ht="15" hidden="false" customHeight="false" outlineLevel="0" collapsed="false">
      <c r="A390" s="2" t="s">
        <v>3456</v>
      </c>
      <c r="B390" s="2" t="s">
        <v>3457</v>
      </c>
      <c r="C390" s="2" t="s">
        <v>1660</v>
      </c>
      <c r="D390" s="2" t="s">
        <v>3458</v>
      </c>
      <c r="E390" s="2" t="s">
        <v>103</v>
      </c>
      <c r="F390" s="2" t="s">
        <v>165</v>
      </c>
      <c r="G390" s="2" t="s">
        <v>287</v>
      </c>
      <c r="H390" s="2" t="s">
        <v>3459</v>
      </c>
      <c r="I390" s="2" t="s">
        <v>3460</v>
      </c>
      <c r="J390" s="2" t="s">
        <v>3461</v>
      </c>
      <c r="K390" s="2" t="s">
        <v>3462</v>
      </c>
      <c r="L390" s="2" t="s">
        <v>3463</v>
      </c>
      <c r="M390" s="2"/>
      <c r="N390" s="2"/>
      <c r="O390" s="2" t="s">
        <v>1683</v>
      </c>
      <c r="P390" s="2" t="s">
        <v>3454</v>
      </c>
      <c r="Q390" s="2" t="s">
        <v>1733</v>
      </c>
      <c r="R390" s="3" t="n">
        <v>0.9</v>
      </c>
      <c r="S390" s="3" t="n">
        <v>1.5</v>
      </c>
      <c r="T390" s="3" t="n">
        <v>2.1</v>
      </c>
      <c r="U390" s="2" t="s">
        <v>3464</v>
      </c>
      <c r="V390" s="2" t="s">
        <v>40</v>
      </c>
      <c r="W390" s="2" t="s">
        <v>3444</v>
      </c>
      <c r="X390" s="5" t="s">
        <v>2251</v>
      </c>
      <c r="Y390" s="2" t="n">
        <v>15064298</v>
      </c>
    </row>
    <row r="391" customFormat="false" ht="15" hidden="false" customHeight="false" outlineLevel="0" collapsed="false">
      <c r="A391" s="2" t="s">
        <v>3465</v>
      </c>
      <c r="B391" s="2" t="s">
        <v>3466</v>
      </c>
      <c r="C391" s="2" t="s">
        <v>3467</v>
      </c>
      <c r="D391" s="2" t="s">
        <v>3468</v>
      </c>
      <c r="E391" s="2" t="s">
        <v>103</v>
      </c>
      <c r="F391" s="2" t="s">
        <v>165</v>
      </c>
      <c r="G391" s="2" t="s">
        <v>3469</v>
      </c>
      <c r="H391" s="2" t="s">
        <v>3470</v>
      </c>
      <c r="I391" s="2" t="s">
        <v>3471</v>
      </c>
      <c r="J391" s="2" t="s">
        <v>3472</v>
      </c>
      <c r="K391" s="2" t="s">
        <v>3473</v>
      </c>
      <c r="L391" s="2" t="s">
        <v>2328</v>
      </c>
      <c r="M391" s="2"/>
      <c r="N391" s="2"/>
      <c r="O391" s="2" t="s">
        <v>1683</v>
      </c>
      <c r="P391" s="2" t="s">
        <v>3474</v>
      </c>
      <c r="Q391" s="2" t="s">
        <v>1733</v>
      </c>
      <c r="R391" s="3" t="n">
        <v>0.97</v>
      </c>
      <c r="S391" s="3" t="n">
        <v>1.5</v>
      </c>
      <c r="T391" s="3" t="n">
        <v>2.2</v>
      </c>
      <c r="U391" s="2" t="s">
        <v>3475</v>
      </c>
      <c r="V391" s="2" t="s">
        <v>40</v>
      </c>
      <c r="W391" s="2" t="s">
        <v>3444</v>
      </c>
      <c r="X391" s="5" t="s">
        <v>2258</v>
      </c>
      <c r="Y391" s="2" t="n">
        <v>15064297</v>
      </c>
    </row>
    <row r="392" customFormat="false" ht="15" hidden="false" customHeight="false" outlineLevel="0" collapsed="false">
      <c r="A392" s="2" t="s">
        <v>3476</v>
      </c>
      <c r="B392" s="2" t="s">
        <v>3477</v>
      </c>
      <c r="C392" s="2" t="s">
        <v>3478</v>
      </c>
      <c r="D392" s="2" t="s">
        <v>3479</v>
      </c>
      <c r="E392" s="2" t="s">
        <v>103</v>
      </c>
      <c r="F392" s="2" t="s">
        <v>30</v>
      </c>
      <c r="G392" s="2" t="s">
        <v>287</v>
      </c>
      <c r="H392" s="2" t="s">
        <v>3480</v>
      </c>
      <c r="I392" s="2" t="s">
        <v>3481</v>
      </c>
      <c r="J392" s="2" t="s">
        <v>3482</v>
      </c>
      <c r="K392" s="2" t="s">
        <v>3483</v>
      </c>
      <c r="L392" s="2" t="s">
        <v>3484</v>
      </c>
      <c r="M392" s="2"/>
      <c r="N392" s="2"/>
      <c r="O392" s="2" t="s">
        <v>1683</v>
      </c>
      <c r="P392" s="2" t="s">
        <v>3485</v>
      </c>
      <c r="Q392" s="2" t="s">
        <v>1733</v>
      </c>
      <c r="R392" s="3" t="n">
        <v>0.96</v>
      </c>
      <c r="S392" s="3" t="n">
        <v>1.1</v>
      </c>
      <c r="T392" s="3" t="n">
        <v>2</v>
      </c>
      <c r="U392" s="2" t="s">
        <v>3486</v>
      </c>
      <c r="V392" s="2" t="s">
        <v>40</v>
      </c>
      <c r="W392" s="2" t="s">
        <v>3444</v>
      </c>
      <c r="X392" s="5" t="s">
        <v>2251</v>
      </c>
      <c r="Y392" s="2" t="n">
        <v>15064296</v>
      </c>
    </row>
    <row r="393" customFormat="false" ht="15" hidden="false" customHeight="false" outlineLevel="0" collapsed="false">
      <c r="A393" s="2" t="s">
        <v>2150</v>
      </c>
      <c r="B393" s="2" t="s">
        <v>3487</v>
      </c>
      <c r="C393" s="2" t="s">
        <v>3488</v>
      </c>
      <c r="D393" s="2" t="s">
        <v>3489</v>
      </c>
      <c r="E393" s="2" t="s">
        <v>58</v>
      </c>
      <c r="F393" s="2" t="s">
        <v>48</v>
      </c>
      <c r="G393" s="2" t="s">
        <v>3490</v>
      </c>
      <c r="H393" s="2" t="s">
        <v>3491</v>
      </c>
      <c r="I393" s="2" t="s">
        <v>3492</v>
      </c>
      <c r="J393" s="2" t="s">
        <v>3493</v>
      </c>
      <c r="K393" s="2" t="s">
        <v>3494</v>
      </c>
      <c r="L393" s="2" t="s">
        <v>1558</v>
      </c>
      <c r="M393" s="2"/>
      <c r="N393" s="2"/>
      <c r="O393" s="2" t="s">
        <v>1683</v>
      </c>
      <c r="P393" s="2" t="s">
        <v>3495</v>
      </c>
      <c r="Q393" s="2" t="s">
        <v>1733</v>
      </c>
      <c r="R393" s="3" t="n">
        <v>0.85</v>
      </c>
      <c r="S393" s="3" t="n">
        <v>1.5</v>
      </c>
      <c r="T393" s="3" t="n">
        <v>2</v>
      </c>
      <c r="U393" s="2" t="s">
        <v>3496</v>
      </c>
      <c r="V393" s="2" t="s">
        <v>40</v>
      </c>
      <c r="W393" s="2" t="s">
        <v>3444</v>
      </c>
      <c r="X393" s="5" t="s">
        <v>2258</v>
      </c>
      <c r="Y393" s="2" t="n">
        <v>15064295</v>
      </c>
    </row>
    <row r="394" customFormat="false" ht="15" hidden="false" customHeight="false" outlineLevel="0" collapsed="false">
      <c r="A394" s="2" t="s">
        <v>3497</v>
      </c>
      <c r="B394" s="2" t="s">
        <v>3498</v>
      </c>
      <c r="C394" s="2" t="s">
        <v>1536</v>
      </c>
      <c r="D394" s="2" t="s">
        <v>3499</v>
      </c>
      <c r="E394" s="2"/>
      <c r="F394" s="2" t="s">
        <v>1460</v>
      </c>
      <c r="G394" s="2" t="s">
        <v>59</v>
      </c>
      <c r="H394" s="2"/>
      <c r="I394" s="2" t="s">
        <v>3500</v>
      </c>
      <c r="J394" s="2"/>
      <c r="K394" s="2" t="s">
        <v>3501</v>
      </c>
      <c r="L394" s="2" t="s">
        <v>3502</v>
      </c>
      <c r="M394" s="2"/>
      <c r="N394" s="2"/>
      <c r="O394" s="2" t="s">
        <v>1466</v>
      </c>
      <c r="P394" s="2" t="s">
        <v>1467</v>
      </c>
      <c r="Q394" s="2"/>
      <c r="R394" s="3" t="n">
        <v>0.84</v>
      </c>
      <c r="S394" s="3" t="n">
        <v>1</v>
      </c>
      <c r="T394" s="3" t="n">
        <v>1.8</v>
      </c>
      <c r="U394" s="2"/>
      <c r="V394" s="2" t="s">
        <v>40</v>
      </c>
      <c r="W394" s="2" t="s">
        <v>3503</v>
      </c>
      <c r="X394" s="5" t="s">
        <v>2251</v>
      </c>
      <c r="Y394" s="2" t="n">
        <v>15040505</v>
      </c>
    </row>
    <row r="395" customFormat="false" ht="15" hidden="false" customHeight="false" outlineLevel="0" collapsed="false">
      <c r="A395" s="2" t="s">
        <v>3195</v>
      </c>
      <c r="B395" s="2" t="s">
        <v>1920</v>
      </c>
      <c r="C395" s="2" t="s">
        <v>1560</v>
      </c>
      <c r="D395" s="2" t="s">
        <v>3504</v>
      </c>
      <c r="E395" s="2" t="s">
        <v>244</v>
      </c>
      <c r="F395" s="2" t="s">
        <v>165</v>
      </c>
      <c r="G395" s="2" t="s">
        <v>3505</v>
      </c>
      <c r="H395" s="2" t="s">
        <v>3506</v>
      </c>
      <c r="I395" s="2" t="s">
        <v>3507</v>
      </c>
      <c r="J395" s="2" t="s">
        <v>3508</v>
      </c>
      <c r="K395" s="2" t="s">
        <v>3509</v>
      </c>
      <c r="L395" s="2" t="s">
        <v>3510</v>
      </c>
      <c r="M395" s="2"/>
      <c r="N395" s="2"/>
      <c r="O395" s="2" t="s">
        <v>1466</v>
      </c>
      <c r="P395" s="2" t="s">
        <v>1467</v>
      </c>
      <c r="Q395" s="2"/>
      <c r="R395" s="3" t="n">
        <v>0.87</v>
      </c>
      <c r="S395" s="3" t="n">
        <v>1</v>
      </c>
      <c r="T395" s="3" t="n">
        <v>1.8</v>
      </c>
      <c r="U395" s="2"/>
      <c r="V395" s="2" t="s">
        <v>40</v>
      </c>
      <c r="W395" s="2" t="s">
        <v>3503</v>
      </c>
      <c r="X395" s="5" t="s">
        <v>2258</v>
      </c>
      <c r="Y395" s="2" t="n">
        <v>15040504</v>
      </c>
    </row>
    <row r="396" customFormat="false" ht="15" hidden="false" customHeight="false" outlineLevel="0" collapsed="false">
      <c r="A396" s="2" t="s">
        <v>991</v>
      </c>
      <c r="B396" s="2" t="s">
        <v>3511</v>
      </c>
      <c r="C396" s="2" t="s">
        <v>1560</v>
      </c>
      <c r="D396" s="2" t="s">
        <v>3512</v>
      </c>
      <c r="E396" s="2" t="s">
        <v>255</v>
      </c>
      <c r="F396" s="2" t="s">
        <v>1460</v>
      </c>
      <c r="G396" s="2" t="s">
        <v>878</v>
      </c>
      <c r="H396" s="2" t="s">
        <v>3513</v>
      </c>
      <c r="I396" s="2" t="s">
        <v>3514</v>
      </c>
      <c r="J396" s="2" t="s">
        <v>3515</v>
      </c>
      <c r="K396" s="2" t="s">
        <v>3516</v>
      </c>
      <c r="L396" s="2" t="s">
        <v>1476</v>
      </c>
      <c r="M396" s="2"/>
      <c r="N396" s="2"/>
      <c r="O396" s="2" t="s">
        <v>1466</v>
      </c>
      <c r="P396" s="2" t="s">
        <v>1467</v>
      </c>
      <c r="Q396" s="2"/>
      <c r="R396" s="3" t="n">
        <v>0.87</v>
      </c>
      <c r="S396" s="3" t="n">
        <v>1</v>
      </c>
      <c r="T396" s="3" t="n">
        <v>1.8</v>
      </c>
      <c r="U396" s="2"/>
      <c r="V396" s="2" t="s">
        <v>40</v>
      </c>
      <c r="W396" s="2" t="s">
        <v>3503</v>
      </c>
      <c r="X396" s="5" t="s">
        <v>2251</v>
      </c>
      <c r="Y396" s="2" t="n">
        <v>15040503</v>
      </c>
    </row>
    <row r="397" customFormat="false" ht="15" hidden="false" customHeight="false" outlineLevel="0" collapsed="false">
      <c r="A397" s="2" t="s">
        <v>2282</v>
      </c>
      <c r="B397" s="2" t="s">
        <v>3517</v>
      </c>
      <c r="C397" s="2" t="s">
        <v>542</v>
      </c>
      <c r="D397" s="2" t="s">
        <v>3518</v>
      </c>
      <c r="E397" s="2" t="s">
        <v>255</v>
      </c>
      <c r="F397" s="2" t="s">
        <v>48</v>
      </c>
      <c r="G397" s="2" t="s">
        <v>2105</v>
      </c>
      <c r="H397" s="2" t="s">
        <v>3519</v>
      </c>
      <c r="I397" s="2" t="s">
        <v>3520</v>
      </c>
      <c r="J397" s="2" t="s">
        <v>3521</v>
      </c>
      <c r="K397" s="2" t="s">
        <v>3522</v>
      </c>
      <c r="L397" s="2" t="s">
        <v>109</v>
      </c>
      <c r="M397" s="2"/>
      <c r="N397" s="2"/>
      <c r="O397" s="2" t="s">
        <v>1466</v>
      </c>
      <c r="P397" s="2" t="s">
        <v>1467</v>
      </c>
      <c r="Q397" s="2"/>
      <c r="R397" s="3" t="n">
        <v>0.88</v>
      </c>
      <c r="S397" s="3" t="n">
        <v>1</v>
      </c>
      <c r="T397" s="3" t="n">
        <v>1.8</v>
      </c>
      <c r="U397" s="2"/>
      <c r="V397" s="2" t="s">
        <v>40</v>
      </c>
      <c r="W397" s="2" t="s">
        <v>3503</v>
      </c>
      <c r="X397" s="5" t="s">
        <v>2258</v>
      </c>
      <c r="Y397" s="2" t="n">
        <v>15040502</v>
      </c>
    </row>
    <row r="398" customFormat="false" ht="15" hidden="false" customHeight="false" outlineLevel="0" collapsed="false">
      <c r="A398" s="2" t="s">
        <v>1262</v>
      </c>
      <c r="B398" s="2" t="s">
        <v>3523</v>
      </c>
      <c r="C398" s="2" t="s">
        <v>542</v>
      </c>
      <c r="D398" s="2" t="s">
        <v>3524</v>
      </c>
      <c r="E398" s="2" t="s">
        <v>90</v>
      </c>
      <c r="F398" s="2" t="s">
        <v>48</v>
      </c>
      <c r="G398" s="2" t="s">
        <v>3525</v>
      </c>
      <c r="H398" s="2" t="s">
        <v>3526</v>
      </c>
      <c r="I398" s="2" t="s">
        <v>3527</v>
      </c>
      <c r="J398" s="2" t="s">
        <v>3528</v>
      </c>
      <c r="K398" s="2" t="s">
        <v>3529</v>
      </c>
      <c r="L398" s="2" t="s">
        <v>3530</v>
      </c>
      <c r="M398" s="2"/>
      <c r="N398" s="2"/>
      <c r="O398" s="2" t="s">
        <v>1466</v>
      </c>
      <c r="P398" s="2" t="s">
        <v>1467</v>
      </c>
      <c r="Q398" s="2"/>
      <c r="R398" s="3" t="n">
        <v>0.88</v>
      </c>
      <c r="S398" s="3" t="n">
        <v>1</v>
      </c>
      <c r="T398" s="3" t="n">
        <v>1.8</v>
      </c>
      <c r="U398" s="2"/>
      <c r="V398" s="2" t="s">
        <v>40</v>
      </c>
      <c r="W398" s="2" t="s">
        <v>3503</v>
      </c>
      <c r="X398" s="5" t="s">
        <v>2251</v>
      </c>
      <c r="Y398" s="2" t="n">
        <v>15040501</v>
      </c>
    </row>
    <row r="399" customFormat="false" ht="15" hidden="false" customHeight="false" outlineLevel="0" collapsed="false">
      <c r="A399" s="2" t="s">
        <v>965</v>
      </c>
      <c r="B399" s="2" t="s">
        <v>3531</v>
      </c>
      <c r="C399" s="2" t="s">
        <v>542</v>
      </c>
      <c r="D399" s="2" t="s">
        <v>3532</v>
      </c>
      <c r="E399" s="2" t="s">
        <v>255</v>
      </c>
      <c r="F399" s="2" t="s">
        <v>1487</v>
      </c>
      <c r="G399" s="2" t="s">
        <v>3533</v>
      </c>
      <c r="H399" s="2" t="s">
        <v>3534</v>
      </c>
      <c r="I399" s="2" t="s">
        <v>3535</v>
      </c>
      <c r="J399" s="2" t="s">
        <v>3536</v>
      </c>
      <c r="K399" s="2" t="s">
        <v>3537</v>
      </c>
      <c r="L399" s="2" t="s">
        <v>3538</v>
      </c>
      <c r="M399" s="2"/>
      <c r="N399" s="2"/>
      <c r="O399" s="2" t="s">
        <v>1466</v>
      </c>
      <c r="P399" s="2" t="s">
        <v>1467</v>
      </c>
      <c r="Q399" s="2"/>
      <c r="R399" s="3" t="n">
        <v>0.88</v>
      </c>
      <c r="S399" s="3" t="n">
        <v>1</v>
      </c>
      <c r="T399" s="3" t="n">
        <v>1.8</v>
      </c>
      <c r="U399" s="2"/>
      <c r="V399" s="2" t="s">
        <v>40</v>
      </c>
      <c r="W399" s="2" t="s">
        <v>3503</v>
      </c>
      <c r="X399" s="5" t="s">
        <v>2258</v>
      </c>
      <c r="Y399" s="2" t="n">
        <v>15040500</v>
      </c>
    </row>
    <row r="400" customFormat="false" ht="15" hidden="false" customHeight="false" outlineLevel="0" collapsed="false">
      <c r="A400" s="2" t="s">
        <v>1403</v>
      </c>
      <c r="B400" s="2" t="s">
        <v>3539</v>
      </c>
      <c r="C400" s="2" t="s">
        <v>542</v>
      </c>
      <c r="D400" s="2" t="s">
        <v>3540</v>
      </c>
      <c r="E400" s="2" t="s">
        <v>255</v>
      </c>
      <c r="F400" s="2" t="s">
        <v>1460</v>
      </c>
      <c r="G400" s="2" t="s">
        <v>1293</v>
      </c>
      <c r="H400" s="2" t="s">
        <v>3541</v>
      </c>
      <c r="I400" s="2" t="s">
        <v>3542</v>
      </c>
      <c r="J400" s="2" t="s">
        <v>3543</v>
      </c>
      <c r="K400" s="2" t="s">
        <v>3544</v>
      </c>
      <c r="L400" s="2" t="s">
        <v>3545</v>
      </c>
      <c r="M400" s="2"/>
      <c r="N400" s="2"/>
      <c r="O400" s="2" t="s">
        <v>1466</v>
      </c>
      <c r="P400" s="2" t="s">
        <v>1467</v>
      </c>
      <c r="Q400" s="2"/>
      <c r="R400" s="3" t="n">
        <v>0.88</v>
      </c>
      <c r="S400" s="3" t="n">
        <v>1</v>
      </c>
      <c r="T400" s="3" t="n">
        <v>1.8</v>
      </c>
      <c r="U400" s="2"/>
      <c r="V400" s="2" t="s">
        <v>40</v>
      </c>
      <c r="W400" s="2" t="s">
        <v>3503</v>
      </c>
      <c r="X400" s="5" t="s">
        <v>2251</v>
      </c>
      <c r="Y400" s="2" t="n">
        <v>15040499</v>
      </c>
    </row>
    <row r="401" customFormat="false" ht="15" hidden="false" customHeight="false" outlineLevel="0" collapsed="false">
      <c r="A401" s="2" t="s">
        <v>3546</v>
      </c>
      <c r="B401" s="2" t="s">
        <v>3547</v>
      </c>
      <c r="C401" s="2" t="s">
        <v>542</v>
      </c>
      <c r="D401" s="2" t="s">
        <v>3548</v>
      </c>
      <c r="E401" s="2" t="s">
        <v>255</v>
      </c>
      <c r="F401" s="2" t="s">
        <v>1460</v>
      </c>
      <c r="G401" s="2" t="s">
        <v>3549</v>
      </c>
      <c r="H401" s="2" t="s">
        <v>3550</v>
      </c>
      <c r="I401" s="2" t="s">
        <v>3551</v>
      </c>
      <c r="J401" s="2" t="s">
        <v>3552</v>
      </c>
      <c r="K401" s="2" t="s">
        <v>3553</v>
      </c>
      <c r="L401" s="2" t="s">
        <v>2604</v>
      </c>
      <c r="M401" s="2"/>
      <c r="N401" s="2"/>
      <c r="O401" s="2" t="s">
        <v>1466</v>
      </c>
      <c r="P401" s="2" t="s">
        <v>1467</v>
      </c>
      <c r="Q401" s="2"/>
      <c r="R401" s="3" t="n">
        <v>0.91</v>
      </c>
      <c r="S401" s="3" t="n">
        <v>1</v>
      </c>
      <c r="T401" s="3" t="n">
        <v>1.9</v>
      </c>
      <c r="U401" s="2"/>
      <c r="V401" s="2" t="s">
        <v>40</v>
      </c>
      <c r="W401" s="2" t="s">
        <v>3503</v>
      </c>
      <c r="X401" s="5" t="s">
        <v>2258</v>
      </c>
      <c r="Y401" s="2" t="n">
        <v>15040498</v>
      </c>
    </row>
    <row r="402" customFormat="false" ht="15" hidden="false" customHeight="false" outlineLevel="0" collapsed="false">
      <c r="A402" s="2" t="s">
        <v>3554</v>
      </c>
      <c r="B402" s="2" t="s">
        <v>2763</v>
      </c>
      <c r="C402" s="2" t="s">
        <v>542</v>
      </c>
      <c r="D402" s="2" t="s">
        <v>3555</v>
      </c>
      <c r="E402" s="2" t="s">
        <v>255</v>
      </c>
      <c r="F402" s="2" t="s">
        <v>1460</v>
      </c>
      <c r="G402" s="2" t="s">
        <v>287</v>
      </c>
      <c r="H402" s="2" t="s">
        <v>3556</v>
      </c>
      <c r="I402" s="2" t="s">
        <v>3557</v>
      </c>
      <c r="J402" s="2" t="s">
        <v>3558</v>
      </c>
      <c r="K402" s="2" t="s">
        <v>3559</v>
      </c>
      <c r="L402" s="2" t="s">
        <v>2512</v>
      </c>
      <c r="M402" s="2"/>
      <c r="N402" s="2"/>
      <c r="O402" s="2" t="s">
        <v>1466</v>
      </c>
      <c r="P402" s="2" t="s">
        <v>1467</v>
      </c>
      <c r="Q402" s="2"/>
      <c r="R402" s="3" t="n">
        <v>0.91</v>
      </c>
      <c r="S402" s="3" t="n">
        <v>1</v>
      </c>
      <c r="T402" s="3" t="n">
        <v>1.9</v>
      </c>
      <c r="U402" s="2"/>
      <c r="V402" s="2" t="s">
        <v>40</v>
      </c>
      <c r="W402" s="2" t="s">
        <v>3503</v>
      </c>
      <c r="X402" s="5" t="s">
        <v>2251</v>
      </c>
      <c r="Y402" s="2" t="n">
        <v>15040497</v>
      </c>
    </row>
    <row r="403" customFormat="false" ht="15" hidden="false" customHeight="false" outlineLevel="0" collapsed="false">
      <c r="A403" s="2" t="s">
        <v>3560</v>
      </c>
      <c r="B403" s="2" t="s">
        <v>3561</v>
      </c>
      <c r="C403" s="2" t="s">
        <v>542</v>
      </c>
      <c r="D403" s="2" t="s">
        <v>3562</v>
      </c>
      <c r="E403" s="2" t="s">
        <v>255</v>
      </c>
      <c r="F403" s="2" t="s">
        <v>1460</v>
      </c>
      <c r="G403" s="2" t="s">
        <v>2908</v>
      </c>
      <c r="H403" s="2" t="s">
        <v>3563</v>
      </c>
      <c r="I403" s="2" t="s">
        <v>3564</v>
      </c>
      <c r="J403" s="2" t="s">
        <v>3565</v>
      </c>
      <c r="K403" s="2" t="s">
        <v>3566</v>
      </c>
      <c r="L403" s="2" t="s">
        <v>3510</v>
      </c>
      <c r="M403" s="2"/>
      <c r="N403" s="2"/>
      <c r="O403" s="2" t="s">
        <v>1466</v>
      </c>
      <c r="P403" s="2" t="s">
        <v>1467</v>
      </c>
      <c r="Q403" s="2"/>
      <c r="R403" s="3" t="n">
        <v>0.91</v>
      </c>
      <c r="S403" s="3" t="n">
        <v>1</v>
      </c>
      <c r="T403" s="3" t="n">
        <v>1.9</v>
      </c>
      <c r="U403" s="2"/>
      <c r="V403" s="2" t="s">
        <v>40</v>
      </c>
      <c r="W403" s="2" t="s">
        <v>3503</v>
      </c>
      <c r="X403" s="5" t="s">
        <v>2258</v>
      </c>
      <c r="Y403" s="2" t="n">
        <v>15040496</v>
      </c>
    </row>
    <row r="404" customFormat="false" ht="15" hidden="false" customHeight="false" outlineLevel="0" collapsed="false">
      <c r="A404" s="2" t="s">
        <v>3567</v>
      </c>
      <c r="B404" s="2" t="s">
        <v>3568</v>
      </c>
      <c r="C404" s="2" t="s">
        <v>542</v>
      </c>
      <c r="D404" s="2" t="s">
        <v>3569</v>
      </c>
      <c r="E404" s="2" t="s">
        <v>255</v>
      </c>
      <c r="F404" s="2" t="s">
        <v>1460</v>
      </c>
      <c r="G404" s="2" t="s">
        <v>2683</v>
      </c>
      <c r="H404" s="2" t="s">
        <v>3570</v>
      </c>
      <c r="I404" s="2" t="s">
        <v>3571</v>
      </c>
      <c r="J404" s="2" t="s">
        <v>3572</v>
      </c>
      <c r="K404" s="2" t="s">
        <v>3573</v>
      </c>
      <c r="L404" s="2" t="s">
        <v>1743</v>
      </c>
      <c r="M404" s="2"/>
      <c r="N404" s="2"/>
      <c r="O404" s="2" t="s">
        <v>1466</v>
      </c>
      <c r="P404" s="2" t="s">
        <v>1467</v>
      </c>
      <c r="Q404" s="2"/>
      <c r="R404" s="3" t="n">
        <v>0.93</v>
      </c>
      <c r="S404" s="3" t="n">
        <v>1</v>
      </c>
      <c r="T404" s="3" t="n">
        <v>1.9</v>
      </c>
      <c r="U404" s="2"/>
      <c r="V404" s="2" t="s">
        <v>40</v>
      </c>
      <c r="W404" s="2" t="s">
        <v>3503</v>
      </c>
      <c r="X404" s="5" t="s">
        <v>2251</v>
      </c>
      <c r="Y404" s="2" t="n">
        <v>15040495</v>
      </c>
    </row>
    <row r="405" customFormat="false" ht="15" hidden="false" customHeight="false" outlineLevel="0" collapsed="false">
      <c r="A405" s="2" t="s">
        <v>3574</v>
      </c>
      <c r="B405" s="2" t="s">
        <v>3575</v>
      </c>
      <c r="C405" s="2" t="s">
        <v>542</v>
      </c>
      <c r="D405" s="2" t="s">
        <v>3576</v>
      </c>
      <c r="E405" s="2" t="s">
        <v>255</v>
      </c>
      <c r="F405" s="2" t="s">
        <v>1460</v>
      </c>
      <c r="G405" s="2" t="s">
        <v>3577</v>
      </c>
      <c r="H405" s="2" t="s">
        <v>3578</v>
      </c>
      <c r="I405" s="2" t="s">
        <v>3579</v>
      </c>
      <c r="J405" s="2" t="s">
        <v>3580</v>
      </c>
      <c r="K405" s="2" t="s">
        <v>3581</v>
      </c>
      <c r="L405" s="2" t="s">
        <v>2069</v>
      </c>
      <c r="M405" s="2"/>
      <c r="N405" s="2"/>
      <c r="O405" s="2" t="s">
        <v>1466</v>
      </c>
      <c r="P405" s="2" t="s">
        <v>1467</v>
      </c>
      <c r="Q405" s="2"/>
      <c r="R405" s="3" t="n">
        <v>0.95</v>
      </c>
      <c r="S405" s="3" t="n">
        <v>1</v>
      </c>
      <c r="T405" s="3" t="n">
        <v>1.9</v>
      </c>
      <c r="U405" s="2"/>
      <c r="V405" s="2" t="s">
        <v>40</v>
      </c>
      <c r="W405" s="2" t="s">
        <v>3503</v>
      </c>
      <c r="X405" s="5" t="s">
        <v>2258</v>
      </c>
      <c r="Y405" s="2" t="n">
        <v>15040494</v>
      </c>
    </row>
    <row r="406" customFormat="false" ht="15" hidden="false" customHeight="false" outlineLevel="0" collapsed="false">
      <c r="A406" s="2" t="s">
        <v>3582</v>
      </c>
      <c r="B406" s="2" t="s">
        <v>3583</v>
      </c>
      <c r="C406" s="2" t="s">
        <v>1536</v>
      </c>
      <c r="D406" s="2" t="s">
        <v>3584</v>
      </c>
      <c r="E406" s="2" t="s">
        <v>90</v>
      </c>
      <c r="F406" s="2" t="s">
        <v>1460</v>
      </c>
      <c r="G406" s="2" t="s">
        <v>3585</v>
      </c>
      <c r="H406" s="2" t="s">
        <v>3586</v>
      </c>
      <c r="I406" s="2" t="s">
        <v>3587</v>
      </c>
      <c r="J406" s="2" t="s">
        <v>3588</v>
      </c>
      <c r="K406" s="2" t="s">
        <v>3589</v>
      </c>
      <c r="L406" s="2" t="s">
        <v>3590</v>
      </c>
      <c r="M406" s="2"/>
      <c r="N406" s="2"/>
      <c r="O406" s="2" t="s">
        <v>1466</v>
      </c>
      <c r="P406" s="2" t="s">
        <v>1467</v>
      </c>
      <c r="Q406" s="2"/>
      <c r="R406" s="3" t="n">
        <v>0.95</v>
      </c>
      <c r="S406" s="3" t="n">
        <v>1</v>
      </c>
      <c r="T406" s="3" t="n">
        <v>1.9</v>
      </c>
      <c r="U406" s="2"/>
      <c r="V406" s="2" t="s">
        <v>40</v>
      </c>
      <c r="W406" s="2" t="s">
        <v>3503</v>
      </c>
      <c r="X406" s="5" t="s">
        <v>2251</v>
      </c>
      <c r="Y406" s="2" t="n">
        <v>15040493</v>
      </c>
    </row>
    <row r="407" customFormat="false" ht="15" hidden="false" customHeight="false" outlineLevel="0" collapsed="false">
      <c r="A407" s="2" t="s">
        <v>2134</v>
      </c>
      <c r="B407" s="2" t="s">
        <v>3591</v>
      </c>
      <c r="C407" s="2" t="s">
        <v>542</v>
      </c>
      <c r="D407" s="2" t="s">
        <v>3592</v>
      </c>
      <c r="E407" s="2" t="s">
        <v>255</v>
      </c>
      <c r="F407" s="2" t="s">
        <v>1460</v>
      </c>
      <c r="G407" s="2" t="s">
        <v>3593</v>
      </c>
      <c r="H407" s="2" t="s">
        <v>3594</v>
      </c>
      <c r="I407" s="2" t="s">
        <v>3595</v>
      </c>
      <c r="J407" s="2" t="s">
        <v>3596</v>
      </c>
      <c r="K407" s="2" t="s">
        <v>3597</v>
      </c>
      <c r="L407" s="2" t="s">
        <v>2263</v>
      </c>
      <c r="M407" s="2"/>
      <c r="N407" s="2"/>
      <c r="O407" s="2" t="s">
        <v>1466</v>
      </c>
      <c r="P407" s="2" t="s">
        <v>1467</v>
      </c>
      <c r="Q407" s="2"/>
      <c r="R407" s="3" t="n">
        <v>0.95</v>
      </c>
      <c r="S407" s="3" t="n">
        <v>1</v>
      </c>
      <c r="T407" s="3" t="n">
        <v>1.9</v>
      </c>
      <c r="U407" s="2"/>
      <c r="V407" s="2" t="s">
        <v>40</v>
      </c>
      <c r="W407" s="2" t="s">
        <v>3503</v>
      </c>
      <c r="X407" s="5" t="s">
        <v>2258</v>
      </c>
      <c r="Y407" s="2" t="n">
        <v>15040492</v>
      </c>
    </row>
    <row r="408" customFormat="false" ht="15" hidden="false" customHeight="false" outlineLevel="0" collapsed="false">
      <c r="A408" s="2" t="s">
        <v>3598</v>
      </c>
      <c r="B408" s="2" t="s">
        <v>3599</v>
      </c>
      <c r="C408" s="2" t="s">
        <v>542</v>
      </c>
      <c r="D408" s="2" t="s">
        <v>3600</v>
      </c>
      <c r="E408" s="2" t="s">
        <v>103</v>
      </c>
      <c r="F408" s="2" t="s">
        <v>1460</v>
      </c>
      <c r="G408" s="2" t="s">
        <v>3122</v>
      </c>
      <c r="H408" s="2" t="s">
        <v>3601</v>
      </c>
      <c r="I408" s="2" t="s">
        <v>3602</v>
      </c>
      <c r="J408" s="2" t="s">
        <v>3603</v>
      </c>
      <c r="K408" s="2" t="s">
        <v>3604</v>
      </c>
      <c r="L408" s="2" t="s">
        <v>3391</v>
      </c>
      <c r="M408" s="2"/>
      <c r="N408" s="2"/>
      <c r="O408" s="2" t="s">
        <v>1466</v>
      </c>
      <c r="P408" s="2" t="s">
        <v>1467</v>
      </c>
      <c r="Q408" s="2"/>
      <c r="R408" s="3" t="n">
        <v>0.95</v>
      </c>
      <c r="S408" s="3" t="n">
        <v>1</v>
      </c>
      <c r="T408" s="3" t="n">
        <v>1.9</v>
      </c>
      <c r="U408" s="2"/>
      <c r="V408" s="2" t="s">
        <v>40</v>
      </c>
      <c r="W408" s="2" t="s">
        <v>3503</v>
      </c>
      <c r="X408" s="5" t="s">
        <v>2251</v>
      </c>
      <c r="Y408" s="2" t="n">
        <v>15040491</v>
      </c>
    </row>
    <row r="409" customFormat="false" ht="15" hidden="false" customHeight="false" outlineLevel="0" collapsed="false">
      <c r="A409" s="2" t="s">
        <v>3605</v>
      </c>
      <c r="B409" s="2" t="s">
        <v>3606</v>
      </c>
      <c r="C409" s="2" t="s">
        <v>542</v>
      </c>
      <c r="D409" s="2" t="s">
        <v>3607</v>
      </c>
      <c r="E409" s="2" t="s">
        <v>255</v>
      </c>
      <c r="F409" s="2" t="s">
        <v>1460</v>
      </c>
      <c r="G409" s="2" t="s">
        <v>3608</v>
      </c>
      <c r="H409" s="2" t="s">
        <v>3609</v>
      </c>
      <c r="I409" s="2" t="s">
        <v>3610</v>
      </c>
      <c r="J409" s="2" t="s">
        <v>3611</v>
      </c>
      <c r="K409" s="2" t="s">
        <v>3612</v>
      </c>
      <c r="L409" s="2" t="s">
        <v>2257</v>
      </c>
      <c r="M409" s="2"/>
      <c r="N409" s="2"/>
      <c r="O409" s="2" t="s">
        <v>1466</v>
      </c>
      <c r="P409" s="2" t="s">
        <v>1467</v>
      </c>
      <c r="Q409" s="2"/>
      <c r="R409" s="3" t="n">
        <v>0.95</v>
      </c>
      <c r="S409" s="3" t="n">
        <v>1</v>
      </c>
      <c r="T409" s="3" t="n">
        <v>1.9</v>
      </c>
      <c r="U409" s="2"/>
      <c r="V409" s="2" t="s">
        <v>40</v>
      </c>
      <c r="W409" s="2" t="s">
        <v>3503</v>
      </c>
      <c r="X409" s="5" t="s">
        <v>2258</v>
      </c>
      <c r="Y409" s="2" t="n">
        <v>15040490</v>
      </c>
    </row>
    <row r="410" customFormat="false" ht="15" hidden="false" customHeight="false" outlineLevel="0" collapsed="false">
      <c r="A410" s="2" t="s">
        <v>2854</v>
      </c>
      <c r="B410" s="2" t="s">
        <v>3613</v>
      </c>
      <c r="C410" s="2" t="s">
        <v>542</v>
      </c>
      <c r="D410" s="2" t="s">
        <v>3614</v>
      </c>
      <c r="E410" s="2" t="s">
        <v>90</v>
      </c>
      <c r="F410" s="2" t="s">
        <v>1460</v>
      </c>
      <c r="G410" s="2" t="s">
        <v>2683</v>
      </c>
      <c r="H410" s="2" t="s">
        <v>3615</v>
      </c>
      <c r="I410" s="2" t="s">
        <v>3616</v>
      </c>
      <c r="J410" s="2" t="s">
        <v>3617</v>
      </c>
      <c r="K410" s="2" t="s">
        <v>3618</v>
      </c>
      <c r="L410" s="2" t="s">
        <v>1668</v>
      </c>
      <c r="M410" s="2"/>
      <c r="N410" s="2"/>
      <c r="O410" s="2" t="s">
        <v>1466</v>
      </c>
      <c r="P410" s="2" t="s">
        <v>1467</v>
      </c>
      <c r="Q410" s="2"/>
      <c r="R410" s="3" t="n">
        <v>0.98</v>
      </c>
      <c r="S410" s="3" t="n">
        <v>1</v>
      </c>
      <c r="T410" s="3" t="n">
        <v>2</v>
      </c>
      <c r="U410" s="2"/>
      <c r="V410" s="2" t="s">
        <v>40</v>
      </c>
      <c r="W410" s="2" t="s">
        <v>3503</v>
      </c>
      <c r="X410" s="5" t="s">
        <v>2251</v>
      </c>
      <c r="Y410" s="2" t="n">
        <v>15040489</v>
      </c>
    </row>
    <row r="411" customFormat="false" ht="15" hidden="false" customHeight="false" outlineLevel="0" collapsed="false">
      <c r="A411" s="2" t="s">
        <v>3619</v>
      </c>
      <c r="B411" s="2" t="s">
        <v>3620</v>
      </c>
      <c r="C411" s="2" t="s">
        <v>542</v>
      </c>
      <c r="D411" s="2" t="s">
        <v>3621</v>
      </c>
      <c r="E411" s="2" t="s">
        <v>103</v>
      </c>
      <c r="F411" s="2" t="s">
        <v>165</v>
      </c>
      <c r="G411" s="2" t="s">
        <v>3122</v>
      </c>
      <c r="H411" s="2" t="s">
        <v>3622</v>
      </c>
      <c r="I411" s="2" t="s">
        <v>3623</v>
      </c>
      <c r="J411" s="2" t="s">
        <v>3624</v>
      </c>
      <c r="K411" s="2" t="s">
        <v>542</v>
      </c>
      <c r="L411" s="2" t="s">
        <v>2338</v>
      </c>
      <c r="M411" s="2"/>
      <c r="N411" s="2"/>
      <c r="O411" s="2" t="s">
        <v>1466</v>
      </c>
      <c r="P411" s="2" t="s">
        <v>1467</v>
      </c>
      <c r="Q411" s="2"/>
      <c r="R411" s="3" t="n">
        <v>0.98</v>
      </c>
      <c r="S411" s="3" t="n">
        <v>1</v>
      </c>
      <c r="T411" s="3" t="n">
        <v>2</v>
      </c>
      <c r="U411" s="2"/>
      <c r="V411" s="2" t="s">
        <v>40</v>
      </c>
      <c r="W411" s="2" t="s">
        <v>3503</v>
      </c>
      <c r="X411" s="5" t="s">
        <v>2258</v>
      </c>
      <c r="Y411" s="2" t="n">
        <v>15040488</v>
      </c>
    </row>
    <row r="412" customFormat="false" ht="15" hidden="false" customHeight="false" outlineLevel="0" collapsed="false">
      <c r="A412" s="2" t="s">
        <v>3625</v>
      </c>
      <c r="B412" s="2" t="s">
        <v>3626</v>
      </c>
      <c r="C412" s="2" t="s">
        <v>542</v>
      </c>
      <c r="D412" s="2" t="s">
        <v>3627</v>
      </c>
      <c r="E412" s="2" t="s">
        <v>90</v>
      </c>
      <c r="F412" s="2" t="s">
        <v>165</v>
      </c>
      <c r="G412" s="2" t="s">
        <v>544</v>
      </c>
      <c r="H412" s="2" t="s">
        <v>3628</v>
      </c>
      <c r="I412" s="2" t="s">
        <v>3629</v>
      </c>
      <c r="J412" s="2" t="s">
        <v>3630</v>
      </c>
      <c r="K412" s="2" t="s">
        <v>3631</v>
      </c>
      <c r="L412" s="2" t="s">
        <v>3632</v>
      </c>
      <c r="M412" s="2"/>
      <c r="N412" s="2"/>
      <c r="O412" s="2" t="s">
        <v>1466</v>
      </c>
      <c r="P412" s="2" t="s">
        <v>1467</v>
      </c>
      <c r="Q412" s="2"/>
      <c r="R412" s="3" t="n">
        <v>0.98</v>
      </c>
      <c r="S412" s="3" t="n">
        <v>1</v>
      </c>
      <c r="T412" s="3" t="n">
        <v>2</v>
      </c>
      <c r="U412" s="2"/>
      <c r="V412" s="2" t="s">
        <v>40</v>
      </c>
      <c r="W412" s="2" t="s">
        <v>3503</v>
      </c>
      <c r="X412" s="5" t="s">
        <v>2251</v>
      </c>
      <c r="Y412" s="2" t="n">
        <v>15040485</v>
      </c>
    </row>
    <row r="413" customFormat="false" ht="15" hidden="false" customHeight="false" outlineLevel="0" collapsed="false">
      <c r="A413" s="2" t="s">
        <v>3633</v>
      </c>
      <c r="B413" s="2" t="s">
        <v>3634</v>
      </c>
      <c r="C413" s="2" t="s">
        <v>542</v>
      </c>
      <c r="D413" s="2" t="s">
        <v>3635</v>
      </c>
      <c r="E413" s="2" t="s">
        <v>244</v>
      </c>
      <c r="F413" s="2" t="s">
        <v>1460</v>
      </c>
      <c r="G413" s="2" t="s">
        <v>1201</v>
      </c>
      <c r="H413" s="2" t="s">
        <v>3636</v>
      </c>
      <c r="I413" s="2" t="s">
        <v>3637</v>
      </c>
      <c r="J413" s="2" t="s">
        <v>3638</v>
      </c>
      <c r="K413" s="2" t="s">
        <v>3639</v>
      </c>
      <c r="L413" s="2" t="s">
        <v>3640</v>
      </c>
      <c r="M413" s="2"/>
      <c r="N413" s="2"/>
      <c r="O413" s="2" t="s">
        <v>1466</v>
      </c>
      <c r="P413" s="2" t="s">
        <v>1467</v>
      </c>
      <c r="Q413" s="2"/>
      <c r="R413" s="3" t="n">
        <v>0.98</v>
      </c>
      <c r="S413" s="3" t="n">
        <v>1</v>
      </c>
      <c r="T413" s="3" t="n">
        <v>2</v>
      </c>
      <c r="U413" s="2"/>
      <c r="V413" s="2" t="s">
        <v>40</v>
      </c>
      <c r="W413" s="2" t="s">
        <v>3503</v>
      </c>
      <c r="X413" s="5" t="s">
        <v>2258</v>
      </c>
      <c r="Y413" s="2" t="n">
        <v>15040483</v>
      </c>
    </row>
    <row r="414" customFormat="false" ht="15" hidden="false" customHeight="false" outlineLevel="0" collapsed="false">
      <c r="A414" s="2" t="s">
        <v>3641</v>
      </c>
      <c r="B414" s="2" t="s">
        <v>3642</v>
      </c>
      <c r="C414" s="2" t="s">
        <v>542</v>
      </c>
      <c r="D414" s="2" t="s">
        <v>3643</v>
      </c>
      <c r="E414" s="2" t="s">
        <v>244</v>
      </c>
      <c r="F414" s="2" t="s">
        <v>1460</v>
      </c>
      <c r="G414" s="2" t="s">
        <v>3644</v>
      </c>
      <c r="H414" s="2" t="s">
        <v>3645</v>
      </c>
      <c r="I414" s="2" t="s">
        <v>3646</v>
      </c>
      <c r="J414" s="2" t="s">
        <v>3647</v>
      </c>
      <c r="K414" s="2" t="s">
        <v>3581</v>
      </c>
      <c r="L414" s="2" t="s">
        <v>3295</v>
      </c>
      <c r="M414" s="2"/>
      <c r="N414" s="2"/>
      <c r="O414" s="2" t="s">
        <v>1466</v>
      </c>
      <c r="P414" s="2" t="s">
        <v>1467</v>
      </c>
      <c r="Q414" s="2"/>
      <c r="R414" s="3" t="n">
        <v>0.98</v>
      </c>
      <c r="S414" s="3" t="n">
        <v>1</v>
      </c>
      <c r="T414" s="3" t="n">
        <v>2</v>
      </c>
      <c r="U414" s="2"/>
      <c r="V414" s="2" t="s">
        <v>40</v>
      </c>
      <c r="W414" s="2" t="s">
        <v>3503</v>
      </c>
      <c r="X414" s="5" t="s">
        <v>2251</v>
      </c>
      <c r="Y414" s="2" t="n">
        <v>15040480</v>
      </c>
    </row>
    <row r="415" customFormat="false" ht="15" hidden="false" customHeight="false" outlineLevel="0" collapsed="false">
      <c r="A415" s="2" t="s">
        <v>3648</v>
      </c>
      <c r="B415" s="2" t="s">
        <v>3649</v>
      </c>
      <c r="C415" s="2" t="s">
        <v>542</v>
      </c>
      <c r="D415" s="2" t="s">
        <v>3650</v>
      </c>
      <c r="E415" s="2" t="s">
        <v>90</v>
      </c>
      <c r="F415" s="2" t="s">
        <v>165</v>
      </c>
      <c r="G415" s="2" t="s">
        <v>3651</v>
      </c>
      <c r="H415" s="2" t="s">
        <v>3652</v>
      </c>
      <c r="I415" s="2" t="s">
        <v>3653</v>
      </c>
      <c r="J415" s="2" t="s">
        <v>3654</v>
      </c>
      <c r="K415" s="2" t="s">
        <v>542</v>
      </c>
      <c r="L415" s="2" t="s">
        <v>3655</v>
      </c>
      <c r="M415" s="2"/>
      <c r="N415" s="2"/>
      <c r="O415" s="2" t="s">
        <v>1466</v>
      </c>
      <c r="P415" s="2" t="s">
        <v>1467</v>
      </c>
      <c r="Q415" s="2"/>
      <c r="R415" s="3" t="n">
        <v>0.98</v>
      </c>
      <c r="S415" s="3" t="n">
        <v>1</v>
      </c>
      <c r="T415" s="3" t="n">
        <v>2</v>
      </c>
      <c r="U415" s="2"/>
      <c r="V415" s="2" t="s">
        <v>40</v>
      </c>
      <c r="W415" s="2" t="s">
        <v>3503</v>
      </c>
      <c r="X415" s="5" t="s">
        <v>2258</v>
      </c>
      <c r="Y415" s="2" t="n">
        <v>15040478</v>
      </c>
    </row>
    <row r="416" customFormat="false" ht="15" hidden="false" customHeight="false" outlineLevel="0" collapsed="false">
      <c r="A416" s="2" t="s">
        <v>3656</v>
      </c>
      <c r="B416" s="2" t="s">
        <v>3657</v>
      </c>
      <c r="C416" s="2" t="s">
        <v>1895</v>
      </c>
      <c r="D416" s="2" t="s">
        <v>3658</v>
      </c>
      <c r="E416" s="2" t="s">
        <v>103</v>
      </c>
      <c r="F416" s="2" t="s">
        <v>165</v>
      </c>
      <c r="G416" s="2" t="s">
        <v>3659</v>
      </c>
      <c r="H416" s="2"/>
      <c r="I416" s="2" t="s">
        <v>3660</v>
      </c>
      <c r="J416" s="2" t="s">
        <v>3661</v>
      </c>
      <c r="K416" s="2" t="s">
        <v>3662</v>
      </c>
      <c r="L416" s="2" t="s">
        <v>1777</v>
      </c>
      <c r="M416" s="2"/>
      <c r="N416" s="2"/>
      <c r="O416" s="2" t="s">
        <v>1669</v>
      </c>
      <c r="P416" s="2" t="s">
        <v>3663</v>
      </c>
      <c r="Q416" s="2" t="s">
        <v>1671</v>
      </c>
      <c r="R416" s="3" t="n">
        <v>0.93</v>
      </c>
      <c r="S416" s="3" t="n">
        <v>1.5</v>
      </c>
      <c r="T416" s="3" t="n">
        <v>2.1</v>
      </c>
      <c r="U416" s="2" t="s">
        <v>3664</v>
      </c>
      <c r="V416" s="2" t="s">
        <v>40</v>
      </c>
      <c r="W416" s="2" t="s">
        <v>3665</v>
      </c>
      <c r="X416" s="5" t="s">
        <v>2251</v>
      </c>
      <c r="Y416" s="2" t="n">
        <v>14951093</v>
      </c>
    </row>
    <row r="417" customFormat="false" ht="15" hidden="false" customHeight="false" outlineLevel="0" collapsed="false">
      <c r="A417" s="2" t="s">
        <v>3666</v>
      </c>
      <c r="B417" s="2" t="s">
        <v>3667</v>
      </c>
      <c r="C417" s="2" t="s">
        <v>3668</v>
      </c>
      <c r="D417" s="2" t="s">
        <v>3669</v>
      </c>
      <c r="E417" s="2" t="s">
        <v>47</v>
      </c>
      <c r="F417" s="2" t="s">
        <v>1772</v>
      </c>
      <c r="G417" s="2" t="s">
        <v>287</v>
      </c>
      <c r="H417" s="2" t="s">
        <v>3670</v>
      </c>
      <c r="I417" s="2" t="s">
        <v>3671</v>
      </c>
      <c r="J417" s="2" t="s">
        <v>3672</v>
      </c>
      <c r="K417" s="2" t="s">
        <v>3673</v>
      </c>
      <c r="L417" s="2" t="s">
        <v>3674</v>
      </c>
      <c r="M417" s="2"/>
      <c r="N417" s="2"/>
      <c r="O417" s="2" t="s">
        <v>1669</v>
      </c>
      <c r="P417" s="2" t="s">
        <v>3675</v>
      </c>
      <c r="Q417" s="2" t="s">
        <v>3676</v>
      </c>
      <c r="R417" s="3" t="n">
        <v>0.89</v>
      </c>
      <c r="S417" s="3" t="n">
        <v>1.1</v>
      </c>
      <c r="T417" s="3" t="n">
        <v>1.9</v>
      </c>
      <c r="U417" s="2" t="s">
        <v>3677</v>
      </c>
      <c r="V417" s="2" t="s">
        <v>40</v>
      </c>
      <c r="W417" s="2" t="s">
        <v>3678</v>
      </c>
      <c r="X417" s="5" t="s">
        <v>2258</v>
      </c>
      <c r="Y417" s="2" t="n">
        <v>14910791</v>
      </c>
    </row>
    <row r="418" customFormat="false" ht="15" hidden="false" customHeight="false" outlineLevel="0" collapsed="false">
      <c r="A418" s="2" t="s">
        <v>3679</v>
      </c>
      <c r="B418" s="2" t="s">
        <v>3680</v>
      </c>
      <c r="C418" s="2" t="s">
        <v>1660</v>
      </c>
      <c r="D418" s="2" t="s">
        <v>3681</v>
      </c>
      <c r="E418" s="2" t="s">
        <v>58</v>
      </c>
      <c r="F418" s="2" t="s">
        <v>165</v>
      </c>
      <c r="G418" s="2" t="s">
        <v>505</v>
      </c>
      <c r="H418" s="2" t="s">
        <v>3682</v>
      </c>
      <c r="I418" s="2" t="s">
        <v>3683</v>
      </c>
      <c r="J418" s="2" t="s">
        <v>3684</v>
      </c>
      <c r="K418" s="2" t="s">
        <v>3685</v>
      </c>
      <c r="L418" s="2" t="s">
        <v>1605</v>
      </c>
      <c r="M418" s="2"/>
      <c r="N418" s="2"/>
      <c r="O418" s="2" t="s">
        <v>2665</v>
      </c>
      <c r="P418" s="2" t="s">
        <v>3686</v>
      </c>
      <c r="Q418" s="2" t="s">
        <v>2667</v>
      </c>
      <c r="R418" s="3" t="n">
        <v>0.91</v>
      </c>
      <c r="S418" s="3" t="n">
        <v>1.1</v>
      </c>
      <c r="T418" s="3" t="n">
        <v>1.9</v>
      </c>
      <c r="U418" s="2" t="s">
        <v>3687</v>
      </c>
      <c r="V418" s="2" t="s">
        <v>40</v>
      </c>
      <c r="W418" s="2" t="s">
        <v>3688</v>
      </c>
      <c r="X418" s="5" t="s">
        <v>2251</v>
      </c>
      <c r="Y418" s="2" t="n">
        <v>14904749</v>
      </c>
    </row>
    <row r="419" customFormat="false" ht="15" hidden="false" customHeight="false" outlineLevel="0" collapsed="false">
      <c r="A419" s="2" t="s">
        <v>3689</v>
      </c>
      <c r="B419" s="2" t="s">
        <v>3690</v>
      </c>
      <c r="C419" s="2" t="s">
        <v>3691</v>
      </c>
      <c r="D419" s="2" t="s">
        <v>3692</v>
      </c>
      <c r="E419" s="2" t="s">
        <v>47</v>
      </c>
      <c r="F419" s="2" t="s">
        <v>1772</v>
      </c>
      <c r="G419" s="2" t="s">
        <v>2683</v>
      </c>
      <c r="H419" s="2" t="s">
        <v>3693</v>
      </c>
      <c r="I419" s="2" t="s">
        <v>3694</v>
      </c>
      <c r="J419" s="2" t="s">
        <v>3695</v>
      </c>
      <c r="K419" s="2" t="s">
        <v>3696</v>
      </c>
      <c r="L419" s="2" t="s">
        <v>2528</v>
      </c>
      <c r="M419" s="2"/>
      <c r="N419" s="2"/>
      <c r="O419" s="2" t="s">
        <v>2665</v>
      </c>
      <c r="P419" s="2" t="s">
        <v>2666</v>
      </c>
      <c r="Q419" s="2" t="s">
        <v>2667</v>
      </c>
      <c r="R419" s="3" t="n">
        <v>0.84</v>
      </c>
      <c r="S419" s="3" t="n">
        <v>1.5</v>
      </c>
      <c r="T419" s="3" t="n">
        <v>2</v>
      </c>
      <c r="U419" s="2" t="s">
        <v>3697</v>
      </c>
      <c r="V419" s="2" t="s">
        <v>40</v>
      </c>
      <c r="W419" s="2" t="s">
        <v>3688</v>
      </c>
      <c r="X419" s="5" t="s">
        <v>2258</v>
      </c>
      <c r="Y419" s="2" t="n">
        <v>14904745</v>
      </c>
    </row>
    <row r="420" customFormat="false" ht="15" hidden="false" customHeight="false" outlineLevel="0" collapsed="false">
      <c r="A420" s="2" t="s">
        <v>3698</v>
      </c>
      <c r="B420" s="2" t="s">
        <v>3699</v>
      </c>
      <c r="C420" s="2" t="s">
        <v>494</v>
      </c>
      <c r="D420" s="2" t="s">
        <v>3700</v>
      </c>
      <c r="E420" s="2" t="s">
        <v>47</v>
      </c>
      <c r="F420" s="2" t="s">
        <v>1782</v>
      </c>
      <c r="G420" s="2" t="s">
        <v>3701</v>
      </c>
      <c r="H420" s="2" t="s">
        <v>3702</v>
      </c>
      <c r="I420" s="2" t="s">
        <v>3703</v>
      </c>
      <c r="J420" s="2" t="s">
        <v>3704</v>
      </c>
      <c r="K420" s="2" t="s">
        <v>3705</v>
      </c>
      <c r="L420" s="2" t="s">
        <v>3706</v>
      </c>
      <c r="M420" s="2"/>
      <c r="N420" s="2"/>
      <c r="O420" s="2" t="s">
        <v>2665</v>
      </c>
      <c r="P420" s="2" t="s">
        <v>3707</v>
      </c>
      <c r="Q420" s="2" t="s">
        <v>2667</v>
      </c>
      <c r="R420" s="3" t="n">
        <v>0.83</v>
      </c>
      <c r="S420" s="3" t="n">
        <v>1.1</v>
      </c>
      <c r="T420" s="3" t="n">
        <v>1.8</v>
      </c>
      <c r="U420" s="2" t="s">
        <v>3708</v>
      </c>
      <c r="V420" s="2" t="s">
        <v>40</v>
      </c>
      <c r="W420" s="2" t="s">
        <v>3709</v>
      </c>
      <c r="X420" s="5" t="s">
        <v>2251</v>
      </c>
      <c r="Y420" s="2" t="n">
        <v>14904743</v>
      </c>
    </row>
    <row r="421" customFormat="false" ht="15" hidden="false" customHeight="false" outlineLevel="0" collapsed="false">
      <c r="A421" s="2" t="s">
        <v>423</v>
      </c>
      <c r="B421" s="2" t="s">
        <v>3710</v>
      </c>
      <c r="C421" s="2" t="s">
        <v>3711</v>
      </c>
      <c r="D421" s="2" t="s">
        <v>3712</v>
      </c>
      <c r="E421" s="2" t="s">
        <v>47</v>
      </c>
      <c r="F421" s="2" t="s">
        <v>165</v>
      </c>
      <c r="G421" s="2" t="s">
        <v>2153</v>
      </c>
      <c r="H421" s="2" t="s">
        <v>3713</v>
      </c>
      <c r="I421" s="2" t="s">
        <v>3714</v>
      </c>
      <c r="J421" s="2" t="s">
        <v>3715</v>
      </c>
      <c r="K421" s="2" t="s">
        <v>3716</v>
      </c>
      <c r="L421" s="2" t="s">
        <v>3717</v>
      </c>
      <c r="M421" s="2"/>
      <c r="N421" s="2"/>
      <c r="O421" s="2" t="s">
        <v>2665</v>
      </c>
      <c r="P421" s="2" t="s">
        <v>3718</v>
      </c>
      <c r="Q421" s="2" t="s">
        <v>2667</v>
      </c>
      <c r="R421" s="3" t="n">
        <v>0.86</v>
      </c>
      <c r="S421" s="3" t="n">
        <v>1.1</v>
      </c>
      <c r="T421" s="3" t="n">
        <v>1.8</v>
      </c>
      <c r="U421" s="2" t="s">
        <v>3719</v>
      </c>
      <c r="V421" s="2" t="s">
        <v>40</v>
      </c>
      <c r="W421" s="2" t="s">
        <v>3709</v>
      </c>
      <c r="X421" s="5" t="s">
        <v>2258</v>
      </c>
      <c r="Y421" s="2" t="n">
        <v>14904737</v>
      </c>
    </row>
    <row r="422" customFormat="false" ht="15" hidden="false" customHeight="false" outlineLevel="0" collapsed="false">
      <c r="A422" s="2" t="s">
        <v>3720</v>
      </c>
      <c r="B422" s="2" t="s">
        <v>3721</v>
      </c>
      <c r="C422" s="2" t="s">
        <v>1660</v>
      </c>
      <c r="D422" s="2" t="s">
        <v>3722</v>
      </c>
      <c r="E422" s="2" t="s">
        <v>103</v>
      </c>
      <c r="F422" s="2" t="s">
        <v>165</v>
      </c>
      <c r="G422" s="2" t="s">
        <v>1879</v>
      </c>
      <c r="H422" s="2"/>
      <c r="I422" s="2" t="s">
        <v>3723</v>
      </c>
      <c r="J422" s="2" t="s">
        <v>3724</v>
      </c>
      <c r="K422" s="2" t="s">
        <v>3725</v>
      </c>
      <c r="L422" s="2" t="s">
        <v>2474</v>
      </c>
      <c r="M422" s="2"/>
      <c r="N422" s="2"/>
      <c r="O422" s="2" t="s">
        <v>2665</v>
      </c>
      <c r="P422" s="2" t="s">
        <v>2666</v>
      </c>
      <c r="Q422" s="2" t="s">
        <v>2667</v>
      </c>
      <c r="R422" s="3" t="n">
        <v>0.9</v>
      </c>
      <c r="S422" s="3" t="n">
        <v>1.5</v>
      </c>
      <c r="T422" s="3" t="n">
        <v>2.1</v>
      </c>
      <c r="U422" s="2" t="s">
        <v>3726</v>
      </c>
      <c r="V422" s="2" t="s">
        <v>40</v>
      </c>
      <c r="W422" s="2" t="s">
        <v>3709</v>
      </c>
      <c r="X422" s="5" t="s">
        <v>2251</v>
      </c>
      <c r="Y422" s="2" t="n">
        <v>14904736</v>
      </c>
    </row>
    <row r="423" customFormat="false" ht="15" hidden="false" customHeight="false" outlineLevel="0" collapsed="false">
      <c r="A423" s="2" t="s">
        <v>3727</v>
      </c>
      <c r="B423" s="2" t="s">
        <v>3728</v>
      </c>
      <c r="C423" s="2" t="s">
        <v>542</v>
      </c>
      <c r="D423" s="2" t="s">
        <v>3729</v>
      </c>
      <c r="E423" s="2" t="s">
        <v>90</v>
      </c>
      <c r="F423" s="2" t="s">
        <v>48</v>
      </c>
      <c r="G423" s="2" t="s">
        <v>3730</v>
      </c>
      <c r="H423" s="2"/>
      <c r="I423" s="2" t="s">
        <v>3731</v>
      </c>
      <c r="J423" s="2" t="s">
        <v>3732</v>
      </c>
      <c r="K423" s="2" t="s">
        <v>3733</v>
      </c>
      <c r="L423" s="2" t="s">
        <v>2617</v>
      </c>
      <c r="M423" s="2"/>
      <c r="N423" s="2"/>
      <c r="O423" s="2" t="s">
        <v>1466</v>
      </c>
      <c r="P423" s="2" t="s">
        <v>1467</v>
      </c>
      <c r="Q423" s="2"/>
      <c r="R423" s="3" t="n">
        <v>0.84</v>
      </c>
      <c r="S423" s="3" t="n">
        <v>1</v>
      </c>
      <c r="T423" s="3" t="n">
        <v>1.8</v>
      </c>
      <c r="U423" s="2"/>
      <c r="V423" s="2" t="s">
        <v>40</v>
      </c>
      <c r="W423" s="2" t="s">
        <v>3734</v>
      </c>
      <c r="X423" s="5" t="s">
        <v>2258</v>
      </c>
      <c r="Y423" s="2" t="n">
        <v>14888073</v>
      </c>
    </row>
    <row r="424" customFormat="false" ht="15" hidden="false" customHeight="false" outlineLevel="0" collapsed="false">
      <c r="A424" s="2" t="s">
        <v>2070</v>
      </c>
      <c r="B424" s="2" t="s">
        <v>3735</v>
      </c>
      <c r="C424" s="2" t="s">
        <v>3736</v>
      </c>
      <c r="D424" s="2" t="s">
        <v>3737</v>
      </c>
      <c r="E424" s="2" t="s">
        <v>90</v>
      </c>
      <c r="F424" s="2" t="s">
        <v>165</v>
      </c>
      <c r="G424" s="2" t="s">
        <v>666</v>
      </c>
      <c r="H424" s="2"/>
      <c r="I424" s="2" t="s">
        <v>3738</v>
      </c>
      <c r="J424" s="2" t="s">
        <v>3739</v>
      </c>
      <c r="K424" s="2" t="s">
        <v>3740</v>
      </c>
      <c r="L424" s="2" t="s">
        <v>3741</v>
      </c>
      <c r="M424" s="2"/>
      <c r="N424" s="2"/>
      <c r="O424" s="2" t="s">
        <v>1466</v>
      </c>
      <c r="P424" s="2" t="s">
        <v>1467</v>
      </c>
      <c r="Q424" s="2"/>
      <c r="R424" s="3" t="n">
        <v>0.84</v>
      </c>
      <c r="S424" s="3" t="n">
        <v>1</v>
      </c>
      <c r="T424" s="3" t="n">
        <v>1.8</v>
      </c>
      <c r="U424" s="2"/>
      <c r="V424" s="2" t="s">
        <v>40</v>
      </c>
      <c r="W424" s="2" t="s">
        <v>3734</v>
      </c>
      <c r="X424" s="5" t="s">
        <v>2251</v>
      </c>
      <c r="Y424" s="2" t="n">
        <v>14888072</v>
      </c>
    </row>
    <row r="425" customFormat="false" ht="15" hidden="false" customHeight="false" outlineLevel="0" collapsed="false">
      <c r="A425" s="2" t="s">
        <v>218</v>
      </c>
      <c r="B425" s="2" t="s">
        <v>3742</v>
      </c>
      <c r="C425" s="2" t="s">
        <v>285</v>
      </c>
      <c r="D425" s="2" t="s">
        <v>3743</v>
      </c>
      <c r="E425" s="2" t="s">
        <v>90</v>
      </c>
      <c r="F425" s="2" t="s">
        <v>48</v>
      </c>
      <c r="G425" s="2" t="s">
        <v>3744</v>
      </c>
      <c r="H425" s="2" t="s">
        <v>3745</v>
      </c>
      <c r="I425" s="2" t="s">
        <v>3746</v>
      </c>
      <c r="J425" s="2" t="s">
        <v>3747</v>
      </c>
      <c r="K425" s="2" t="s">
        <v>3748</v>
      </c>
      <c r="L425" s="2" t="s">
        <v>633</v>
      </c>
      <c r="M425" s="2"/>
      <c r="N425" s="2"/>
      <c r="O425" s="2" t="s">
        <v>1466</v>
      </c>
      <c r="P425" s="2" t="s">
        <v>1467</v>
      </c>
      <c r="Q425" s="2"/>
      <c r="R425" s="3" t="n">
        <v>0.87</v>
      </c>
      <c r="S425" s="3" t="n">
        <v>1</v>
      </c>
      <c r="T425" s="3" t="n">
        <v>1.8</v>
      </c>
      <c r="U425" s="2"/>
      <c r="V425" s="2" t="s">
        <v>40</v>
      </c>
      <c r="W425" s="2" t="s">
        <v>3734</v>
      </c>
      <c r="X425" s="5" t="s">
        <v>2258</v>
      </c>
      <c r="Y425" s="2" t="n">
        <v>14888071</v>
      </c>
    </row>
    <row r="426" customFormat="false" ht="15" hidden="false" customHeight="false" outlineLevel="0" collapsed="false">
      <c r="A426" s="2" t="s">
        <v>3633</v>
      </c>
      <c r="B426" s="2" t="s">
        <v>3749</v>
      </c>
      <c r="C426" s="2" t="s">
        <v>3750</v>
      </c>
      <c r="D426" s="2" t="s">
        <v>3751</v>
      </c>
      <c r="E426" s="2" t="s">
        <v>90</v>
      </c>
      <c r="F426" s="2" t="s">
        <v>165</v>
      </c>
      <c r="G426" s="2" t="s">
        <v>437</v>
      </c>
      <c r="H426" s="2" t="s">
        <v>3752</v>
      </c>
      <c r="I426" s="2" t="s">
        <v>3753</v>
      </c>
      <c r="J426" s="2" t="s">
        <v>3754</v>
      </c>
      <c r="K426" s="2" t="s">
        <v>3755</v>
      </c>
      <c r="L426" s="2" t="s">
        <v>2384</v>
      </c>
      <c r="M426" s="2"/>
      <c r="N426" s="2"/>
      <c r="O426" s="2" t="s">
        <v>1466</v>
      </c>
      <c r="P426" s="2" t="s">
        <v>1467</v>
      </c>
      <c r="Q426" s="2"/>
      <c r="R426" s="3" t="n">
        <v>0.87</v>
      </c>
      <c r="S426" s="3" t="n">
        <v>1</v>
      </c>
      <c r="T426" s="3" t="n">
        <v>1.8</v>
      </c>
      <c r="U426" s="2"/>
      <c r="V426" s="2" t="s">
        <v>40</v>
      </c>
      <c r="W426" s="2" t="s">
        <v>3734</v>
      </c>
      <c r="X426" s="5" t="s">
        <v>2251</v>
      </c>
      <c r="Y426" s="2" t="n">
        <v>14888070</v>
      </c>
    </row>
    <row r="427" customFormat="false" ht="15" hidden="false" customHeight="false" outlineLevel="0" collapsed="false">
      <c r="A427" s="2" t="s">
        <v>3756</v>
      </c>
      <c r="B427" s="2" t="s">
        <v>3757</v>
      </c>
      <c r="C427" s="2" t="s">
        <v>175</v>
      </c>
      <c r="D427" s="2" t="s">
        <v>3758</v>
      </c>
      <c r="E427" s="2" t="s">
        <v>90</v>
      </c>
      <c r="F427" s="2" t="s">
        <v>165</v>
      </c>
      <c r="G427" s="2" t="s">
        <v>878</v>
      </c>
      <c r="H427" s="2"/>
      <c r="I427" s="2" t="s">
        <v>3759</v>
      </c>
      <c r="J427" s="2" t="s">
        <v>3760</v>
      </c>
      <c r="K427" s="2" t="s">
        <v>3761</v>
      </c>
      <c r="L427" s="2" t="s">
        <v>3762</v>
      </c>
      <c r="M427" s="2"/>
      <c r="N427" s="2"/>
      <c r="O427" s="2" t="s">
        <v>1466</v>
      </c>
      <c r="P427" s="2" t="s">
        <v>1467</v>
      </c>
      <c r="Q427" s="2"/>
      <c r="R427" s="3" t="n">
        <v>0.88</v>
      </c>
      <c r="S427" s="3" t="n">
        <v>1</v>
      </c>
      <c r="T427" s="3" t="n">
        <v>1.8</v>
      </c>
      <c r="U427" s="2"/>
      <c r="V427" s="2" t="s">
        <v>40</v>
      </c>
      <c r="W427" s="2" t="s">
        <v>3734</v>
      </c>
      <c r="X427" s="5" t="s">
        <v>2258</v>
      </c>
      <c r="Y427" s="2" t="n">
        <v>14888069</v>
      </c>
    </row>
    <row r="428" customFormat="false" ht="15" hidden="false" customHeight="false" outlineLevel="0" collapsed="false">
      <c r="A428" s="2" t="s">
        <v>376</v>
      </c>
      <c r="B428" s="2" t="s">
        <v>3763</v>
      </c>
      <c r="C428" s="2" t="s">
        <v>285</v>
      </c>
      <c r="D428" s="2" t="s">
        <v>3764</v>
      </c>
      <c r="E428" s="2" t="s">
        <v>90</v>
      </c>
      <c r="F428" s="2" t="s">
        <v>48</v>
      </c>
      <c r="G428" s="2" t="s">
        <v>3765</v>
      </c>
      <c r="H428" s="2" t="s">
        <v>3766</v>
      </c>
      <c r="I428" s="2" t="s">
        <v>3767</v>
      </c>
      <c r="J428" s="2" t="s">
        <v>3768</v>
      </c>
      <c r="K428" s="2" t="s">
        <v>3769</v>
      </c>
      <c r="L428" s="2" t="s">
        <v>3770</v>
      </c>
      <c r="M428" s="2"/>
      <c r="N428" s="2"/>
      <c r="O428" s="2" t="s">
        <v>1466</v>
      </c>
      <c r="P428" s="2" t="s">
        <v>1467</v>
      </c>
      <c r="Q428" s="2"/>
      <c r="R428" s="3" t="n">
        <v>0.88</v>
      </c>
      <c r="S428" s="3" t="n">
        <v>1</v>
      </c>
      <c r="T428" s="3" t="n">
        <v>1.8</v>
      </c>
      <c r="U428" s="2"/>
      <c r="V428" s="2" t="s">
        <v>40</v>
      </c>
      <c r="W428" s="2" t="s">
        <v>3734</v>
      </c>
      <c r="X428" s="5" t="s">
        <v>2251</v>
      </c>
      <c r="Y428" s="2" t="n">
        <v>14888068</v>
      </c>
    </row>
    <row r="429" customFormat="false" ht="15" hidden="false" customHeight="false" outlineLevel="0" collapsed="false">
      <c r="A429" s="2" t="s">
        <v>717</v>
      </c>
      <c r="B429" s="2" t="s">
        <v>3771</v>
      </c>
      <c r="C429" s="2" t="s">
        <v>285</v>
      </c>
      <c r="D429" s="2" t="s">
        <v>3772</v>
      </c>
      <c r="E429" s="2" t="s">
        <v>90</v>
      </c>
      <c r="F429" s="2" t="s">
        <v>165</v>
      </c>
      <c r="G429" s="2" t="s">
        <v>3773</v>
      </c>
      <c r="H429" s="2"/>
      <c r="I429" s="2" t="s">
        <v>3774</v>
      </c>
      <c r="J429" s="2" t="s">
        <v>3775</v>
      </c>
      <c r="K429" s="2" t="s">
        <v>3776</v>
      </c>
      <c r="L429" s="2" t="s">
        <v>3777</v>
      </c>
      <c r="M429" s="2"/>
      <c r="N429" s="2"/>
      <c r="O429" s="2" t="s">
        <v>1466</v>
      </c>
      <c r="P429" s="2" t="s">
        <v>1467</v>
      </c>
      <c r="Q429" s="2"/>
      <c r="R429" s="3" t="n">
        <v>0.88</v>
      </c>
      <c r="S429" s="3" t="n">
        <v>1</v>
      </c>
      <c r="T429" s="3" t="n">
        <v>1.8</v>
      </c>
      <c r="U429" s="2"/>
      <c r="V429" s="2" t="s">
        <v>40</v>
      </c>
      <c r="W429" s="2" t="s">
        <v>3734</v>
      </c>
      <c r="X429" s="5" t="s">
        <v>2258</v>
      </c>
      <c r="Y429" s="2" t="n">
        <v>14888067</v>
      </c>
    </row>
    <row r="430" customFormat="false" ht="15" hidden="false" customHeight="false" outlineLevel="0" collapsed="false">
      <c r="A430" s="2" t="s">
        <v>3778</v>
      </c>
      <c r="B430" s="2" t="s">
        <v>3779</v>
      </c>
      <c r="C430" s="2" t="s">
        <v>3780</v>
      </c>
      <c r="D430" s="2" t="s">
        <v>3781</v>
      </c>
      <c r="E430" s="2" t="s">
        <v>90</v>
      </c>
      <c r="F430" s="2" t="s">
        <v>165</v>
      </c>
      <c r="G430" s="2" t="s">
        <v>756</v>
      </c>
      <c r="H430" s="2"/>
      <c r="I430" s="2" t="s">
        <v>3782</v>
      </c>
      <c r="J430" s="2" t="s">
        <v>3783</v>
      </c>
      <c r="K430" s="2" t="s">
        <v>3784</v>
      </c>
      <c r="L430" s="2" t="s">
        <v>2384</v>
      </c>
      <c r="M430" s="2"/>
      <c r="N430" s="2"/>
      <c r="O430" s="2" t="s">
        <v>1466</v>
      </c>
      <c r="P430" s="2" t="s">
        <v>1467</v>
      </c>
      <c r="Q430" s="2"/>
      <c r="R430" s="3" t="n">
        <v>0.88</v>
      </c>
      <c r="S430" s="3" t="n">
        <v>1</v>
      </c>
      <c r="T430" s="3" t="n">
        <v>1.8</v>
      </c>
      <c r="U430" s="2"/>
      <c r="V430" s="2" t="s">
        <v>40</v>
      </c>
      <c r="W430" s="2" t="s">
        <v>3734</v>
      </c>
      <c r="X430" s="5" t="s">
        <v>2251</v>
      </c>
      <c r="Y430" s="2" t="n">
        <v>14888066</v>
      </c>
    </row>
    <row r="431" customFormat="false" ht="15" hidden="false" customHeight="false" outlineLevel="0" collapsed="false">
      <c r="A431" s="2" t="s">
        <v>965</v>
      </c>
      <c r="B431" s="2" t="s">
        <v>3785</v>
      </c>
      <c r="C431" s="2" t="s">
        <v>175</v>
      </c>
      <c r="D431" s="2" t="s">
        <v>3786</v>
      </c>
      <c r="E431" s="2" t="s">
        <v>90</v>
      </c>
      <c r="F431" s="2" t="s">
        <v>48</v>
      </c>
      <c r="G431" s="2" t="s">
        <v>1293</v>
      </c>
      <c r="H431" s="2" t="s">
        <v>3787</v>
      </c>
      <c r="I431" s="2" t="s">
        <v>3788</v>
      </c>
      <c r="J431" s="2" t="s">
        <v>3789</v>
      </c>
      <c r="K431" s="2" t="s">
        <v>3790</v>
      </c>
      <c r="L431" s="2" t="s">
        <v>3431</v>
      </c>
      <c r="M431" s="2"/>
      <c r="N431" s="2"/>
      <c r="O431" s="2" t="s">
        <v>1466</v>
      </c>
      <c r="P431" s="2" t="s">
        <v>1467</v>
      </c>
      <c r="Q431" s="2"/>
      <c r="R431" s="3" t="n">
        <v>0.88</v>
      </c>
      <c r="S431" s="3" t="n">
        <v>1</v>
      </c>
      <c r="T431" s="3" t="n">
        <v>1.8</v>
      </c>
      <c r="U431" s="2"/>
      <c r="V431" s="2" t="s">
        <v>40</v>
      </c>
      <c r="W431" s="2" t="s">
        <v>3734</v>
      </c>
      <c r="X431" s="5" t="s">
        <v>2258</v>
      </c>
      <c r="Y431" s="2" t="n">
        <v>14888065</v>
      </c>
    </row>
    <row r="432" customFormat="false" ht="15" hidden="false" customHeight="false" outlineLevel="0" collapsed="false">
      <c r="A432" s="2" t="s">
        <v>3791</v>
      </c>
      <c r="B432" s="2" t="s">
        <v>3792</v>
      </c>
      <c r="C432" s="2" t="s">
        <v>175</v>
      </c>
      <c r="D432" s="2" t="s">
        <v>3793</v>
      </c>
      <c r="E432" s="2" t="s">
        <v>90</v>
      </c>
      <c r="F432" s="2" t="s">
        <v>165</v>
      </c>
      <c r="G432" s="2" t="s">
        <v>222</v>
      </c>
      <c r="H432" s="2"/>
      <c r="I432" s="2" t="s">
        <v>3794</v>
      </c>
      <c r="J432" s="2" t="s">
        <v>3795</v>
      </c>
      <c r="K432" s="2" t="s">
        <v>3796</v>
      </c>
      <c r="L432" s="2" t="s">
        <v>2617</v>
      </c>
      <c r="M432" s="2"/>
      <c r="N432" s="2"/>
      <c r="O432" s="2" t="s">
        <v>1466</v>
      </c>
      <c r="P432" s="2" t="s">
        <v>1467</v>
      </c>
      <c r="Q432" s="2"/>
      <c r="R432" s="3" t="n">
        <v>0.88</v>
      </c>
      <c r="S432" s="3" t="n">
        <v>1</v>
      </c>
      <c r="T432" s="3" t="n">
        <v>1.8</v>
      </c>
      <c r="U432" s="2"/>
      <c r="V432" s="2" t="s">
        <v>40</v>
      </c>
      <c r="W432" s="2" t="s">
        <v>3734</v>
      </c>
      <c r="X432" s="5" t="s">
        <v>2251</v>
      </c>
      <c r="Y432" s="2" t="n">
        <v>14888064</v>
      </c>
    </row>
    <row r="433" customFormat="false" ht="15" hidden="false" customHeight="false" outlineLevel="0" collapsed="false">
      <c r="A433" s="2" t="s">
        <v>3797</v>
      </c>
      <c r="B433" s="2" t="s">
        <v>3798</v>
      </c>
      <c r="C433" s="2" t="s">
        <v>175</v>
      </c>
      <c r="D433" s="2" t="s">
        <v>3799</v>
      </c>
      <c r="E433" s="2" t="s">
        <v>90</v>
      </c>
      <c r="F433" s="2" t="s">
        <v>48</v>
      </c>
      <c r="G433" s="2" t="s">
        <v>1562</v>
      </c>
      <c r="H433" s="2"/>
      <c r="I433" s="2" t="s">
        <v>3800</v>
      </c>
      <c r="J433" s="2" t="s">
        <v>3801</v>
      </c>
      <c r="K433" s="2" t="s">
        <v>3802</v>
      </c>
      <c r="L433" s="2" t="s">
        <v>2384</v>
      </c>
      <c r="M433" s="2"/>
      <c r="N433" s="2"/>
      <c r="O433" s="2" t="s">
        <v>1466</v>
      </c>
      <c r="P433" s="2" t="s">
        <v>1467</v>
      </c>
      <c r="Q433" s="2"/>
      <c r="R433" s="3" t="n">
        <v>0.88</v>
      </c>
      <c r="S433" s="3" t="n">
        <v>1</v>
      </c>
      <c r="T433" s="3" t="n">
        <v>1.8</v>
      </c>
      <c r="U433" s="2"/>
      <c r="V433" s="2" t="s">
        <v>40</v>
      </c>
      <c r="W433" s="2" t="s">
        <v>3734</v>
      </c>
      <c r="X433" s="5" t="s">
        <v>2258</v>
      </c>
      <c r="Y433" s="2" t="n">
        <v>14888063</v>
      </c>
    </row>
    <row r="434" customFormat="false" ht="15" hidden="false" customHeight="false" outlineLevel="0" collapsed="false">
      <c r="A434" s="2" t="s">
        <v>3803</v>
      </c>
      <c r="B434" s="2" t="s">
        <v>3606</v>
      </c>
      <c r="C434" s="2" t="s">
        <v>175</v>
      </c>
      <c r="D434" s="2" t="s">
        <v>3804</v>
      </c>
      <c r="E434" s="2" t="s">
        <v>90</v>
      </c>
      <c r="F434" s="2" t="s">
        <v>165</v>
      </c>
      <c r="G434" s="2" t="s">
        <v>287</v>
      </c>
      <c r="H434" s="2"/>
      <c r="I434" s="2" t="s">
        <v>3805</v>
      </c>
      <c r="J434" s="2" t="s">
        <v>3806</v>
      </c>
      <c r="K434" s="2" t="s">
        <v>175</v>
      </c>
      <c r="L434" s="2" t="s">
        <v>3741</v>
      </c>
      <c r="M434" s="2"/>
      <c r="N434" s="2"/>
      <c r="O434" s="2" t="s">
        <v>1466</v>
      </c>
      <c r="P434" s="2" t="s">
        <v>1467</v>
      </c>
      <c r="Q434" s="2"/>
      <c r="R434" s="3" t="n">
        <v>0.91</v>
      </c>
      <c r="S434" s="3" t="n">
        <v>1</v>
      </c>
      <c r="T434" s="3" t="n">
        <v>1.9</v>
      </c>
      <c r="U434" s="2"/>
      <c r="V434" s="2" t="s">
        <v>40</v>
      </c>
      <c r="W434" s="2" t="s">
        <v>3734</v>
      </c>
      <c r="X434" s="5" t="s">
        <v>2251</v>
      </c>
      <c r="Y434" s="2" t="n">
        <v>14888062</v>
      </c>
    </row>
    <row r="435" customFormat="false" ht="15" hidden="false" customHeight="false" outlineLevel="0" collapsed="false">
      <c r="A435" s="2" t="s">
        <v>3807</v>
      </c>
      <c r="B435" s="2" t="s">
        <v>3808</v>
      </c>
      <c r="C435" s="2" t="s">
        <v>285</v>
      </c>
      <c r="D435" s="2" t="s">
        <v>3809</v>
      </c>
      <c r="E435" s="2" t="s">
        <v>90</v>
      </c>
      <c r="F435" s="2" t="s">
        <v>165</v>
      </c>
      <c r="G435" s="2" t="s">
        <v>3320</v>
      </c>
      <c r="H435" s="2" t="s">
        <v>3810</v>
      </c>
      <c r="I435" s="2" t="s">
        <v>3811</v>
      </c>
      <c r="J435" s="2" t="s">
        <v>3812</v>
      </c>
      <c r="K435" s="2" t="s">
        <v>3813</v>
      </c>
      <c r="L435" s="2" t="s">
        <v>3814</v>
      </c>
      <c r="M435" s="2"/>
      <c r="N435" s="2"/>
      <c r="O435" s="2" t="s">
        <v>1466</v>
      </c>
      <c r="P435" s="2" t="s">
        <v>1467</v>
      </c>
      <c r="Q435" s="2"/>
      <c r="R435" s="3" t="n">
        <v>0.91</v>
      </c>
      <c r="S435" s="3" t="n">
        <v>1</v>
      </c>
      <c r="T435" s="3" t="n">
        <v>1.9</v>
      </c>
      <c r="U435" s="2"/>
      <c r="V435" s="2" t="s">
        <v>40</v>
      </c>
      <c r="W435" s="2" t="s">
        <v>3734</v>
      </c>
      <c r="X435" s="5" t="s">
        <v>2258</v>
      </c>
      <c r="Y435" s="2" t="n">
        <v>14888061</v>
      </c>
    </row>
    <row r="436" customFormat="false" ht="15" hidden="false" customHeight="false" outlineLevel="0" collapsed="false">
      <c r="A436" s="2" t="s">
        <v>1526</v>
      </c>
      <c r="B436" s="2" t="s">
        <v>3815</v>
      </c>
      <c r="C436" s="2" t="s">
        <v>3816</v>
      </c>
      <c r="D436" s="2" t="s">
        <v>3817</v>
      </c>
      <c r="E436" s="2" t="s">
        <v>90</v>
      </c>
      <c r="F436" s="2" t="s">
        <v>30</v>
      </c>
      <c r="G436" s="2" t="s">
        <v>3818</v>
      </c>
      <c r="H436" s="2" t="s">
        <v>3819</v>
      </c>
      <c r="I436" s="2" t="s">
        <v>3820</v>
      </c>
      <c r="J436" s="2" t="s">
        <v>3821</v>
      </c>
      <c r="K436" s="2" t="s">
        <v>3822</v>
      </c>
      <c r="L436" s="2" t="s">
        <v>3823</v>
      </c>
      <c r="M436" s="2"/>
      <c r="N436" s="2"/>
      <c r="O436" s="2" t="s">
        <v>1466</v>
      </c>
      <c r="P436" s="2" t="s">
        <v>1467</v>
      </c>
      <c r="Q436" s="2"/>
      <c r="R436" s="3" t="n">
        <v>0.91</v>
      </c>
      <c r="S436" s="3" t="n">
        <v>1</v>
      </c>
      <c r="T436" s="3" t="n">
        <v>1.9</v>
      </c>
      <c r="U436" s="2"/>
      <c r="V436" s="2" t="s">
        <v>40</v>
      </c>
      <c r="W436" s="2" t="s">
        <v>3734</v>
      </c>
      <c r="X436" s="5" t="s">
        <v>2251</v>
      </c>
      <c r="Y436" s="2" t="n">
        <v>14888060</v>
      </c>
    </row>
    <row r="437" customFormat="false" ht="15" hidden="false" customHeight="false" outlineLevel="0" collapsed="false">
      <c r="A437" s="2" t="s">
        <v>1403</v>
      </c>
      <c r="B437" s="2" t="s">
        <v>3824</v>
      </c>
      <c r="C437" s="2" t="s">
        <v>285</v>
      </c>
      <c r="D437" s="2" t="s">
        <v>3592</v>
      </c>
      <c r="E437" s="2" t="s">
        <v>90</v>
      </c>
      <c r="F437" s="2" t="s">
        <v>165</v>
      </c>
      <c r="G437" s="2" t="s">
        <v>79</v>
      </c>
      <c r="H437" s="2" t="s">
        <v>3825</v>
      </c>
      <c r="I437" s="2" t="s">
        <v>3826</v>
      </c>
      <c r="J437" s="2" t="s">
        <v>3827</v>
      </c>
      <c r="K437" s="2" t="s">
        <v>3828</v>
      </c>
      <c r="L437" s="2" t="s">
        <v>2384</v>
      </c>
      <c r="M437" s="2"/>
      <c r="N437" s="2"/>
      <c r="O437" s="2" t="s">
        <v>1466</v>
      </c>
      <c r="P437" s="2" t="s">
        <v>1467</v>
      </c>
      <c r="Q437" s="2"/>
      <c r="R437" s="3" t="n">
        <v>0.91</v>
      </c>
      <c r="S437" s="3" t="n">
        <v>1</v>
      </c>
      <c r="T437" s="3" t="n">
        <v>1.9</v>
      </c>
      <c r="U437" s="2"/>
      <c r="V437" s="2" t="s">
        <v>40</v>
      </c>
      <c r="W437" s="2" t="s">
        <v>3734</v>
      </c>
      <c r="X437" s="5" t="s">
        <v>2258</v>
      </c>
      <c r="Y437" s="2" t="n">
        <v>14888059</v>
      </c>
    </row>
    <row r="438" customFormat="false" ht="15" hidden="false" customHeight="false" outlineLevel="0" collapsed="false">
      <c r="A438" s="2" t="s">
        <v>2917</v>
      </c>
      <c r="B438" s="2" t="s">
        <v>3829</v>
      </c>
      <c r="C438" s="2" t="s">
        <v>1495</v>
      </c>
      <c r="D438" s="2" t="s">
        <v>3830</v>
      </c>
      <c r="E438" s="2" t="s">
        <v>90</v>
      </c>
      <c r="F438" s="2" t="s">
        <v>30</v>
      </c>
      <c r="G438" s="2" t="s">
        <v>2186</v>
      </c>
      <c r="H438" s="2" t="s">
        <v>3831</v>
      </c>
      <c r="I438" s="2" t="s">
        <v>3832</v>
      </c>
      <c r="J438" s="2" t="s">
        <v>3833</v>
      </c>
      <c r="K438" s="2" t="s">
        <v>3834</v>
      </c>
      <c r="L438" s="2" t="s">
        <v>3835</v>
      </c>
      <c r="M438" s="2"/>
      <c r="N438" s="2"/>
      <c r="O438" s="2" t="s">
        <v>1466</v>
      </c>
      <c r="P438" s="2" t="s">
        <v>1467</v>
      </c>
      <c r="Q438" s="2"/>
      <c r="R438" s="3" t="n">
        <v>0.91</v>
      </c>
      <c r="S438" s="3" t="n">
        <v>1</v>
      </c>
      <c r="T438" s="3" t="n">
        <v>1.9</v>
      </c>
      <c r="U438" s="2"/>
      <c r="V438" s="2" t="s">
        <v>40</v>
      </c>
      <c r="W438" s="2" t="s">
        <v>3734</v>
      </c>
      <c r="X438" s="5" t="s">
        <v>2251</v>
      </c>
      <c r="Y438" s="2" t="n">
        <v>14888058</v>
      </c>
    </row>
    <row r="439" customFormat="false" ht="15" hidden="false" customHeight="false" outlineLevel="0" collapsed="false">
      <c r="A439" s="2" t="s">
        <v>1851</v>
      </c>
      <c r="B439" s="2" t="s">
        <v>3836</v>
      </c>
      <c r="C439" s="2" t="s">
        <v>3837</v>
      </c>
      <c r="D439" s="2" t="s">
        <v>3838</v>
      </c>
      <c r="E439" s="2" t="s">
        <v>90</v>
      </c>
      <c r="F439" s="2" t="s">
        <v>165</v>
      </c>
      <c r="G439" s="2" t="s">
        <v>3839</v>
      </c>
      <c r="H439" s="2"/>
      <c r="I439" s="2" t="s">
        <v>3840</v>
      </c>
      <c r="J439" s="2" t="s">
        <v>3841</v>
      </c>
      <c r="K439" s="2" t="s">
        <v>3842</v>
      </c>
      <c r="L439" s="2" t="s">
        <v>3843</v>
      </c>
      <c r="M439" s="2"/>
      <c r="N439" s="2"/>
      <c r="O439" s="2" t="s">
        <v>1466</v>
      </c>
      <c r="P439" s="2" t="s">
        <v>1467</v>
      </c>
      <c r="Q439" s="2"/>
      <c r="R439" s="3" t="n">
        <v>0.91</v>
      </c>
      <c r="S439" s="3" t="n">
        <v>1</v>
      </c>
      <c r="T439" s="3" t="n">
        <v>1.9</v>
      </c>
      <c r="U439" s="2"/>
      <c r="V439" s="2" t="s">
        <v>40</v>
      </c>
      <c r="W439" s="2" t="s">
        <v>3734</v>
      </c>
      <c r="X439" s="5" t="s">
        <v>2258</v>
      </c>
      <c r="Y439" s="2" t="n">
        <v>14888057</v>
      </c>
    </row>
    <row r="440" customFormat="false" ht="15" hidden="false" customHeight="false" outlineLevel="0" collapsed="false">
      <c r="A440" s="2" t="s">
        <v>3844</v>
      </c>
      <c r="B440" s="2" t="s">
        <v>3845</v>
      </c>
      <c r="C440" s="2" t="s">
        <v>3846</v>
      </c>
      <c r="D440" s="2" t="s">
        <v>3847</v>
      </c>
      <c r="E440" s="2" t="s">
        <v>90</v>
      </c>
      <c r="F440" s="2" t="s">
        <v>165</v>
      </c>
      <c r="G440" s="2" t="s">
        <v>3848</v>
      </c>
      <c r="H440" s="2"/>
      <c r="I440" s="2" t="s">
        <v>3849</v>
      </c>
      <c r="J440" s="2" t="s">
        <v>3850</v>
      </c>
      <c r="K440" s="2" t="s">
        <v>3851</v>
      </c>
      <c r="L440" s="2" t="s">
        <v>1392</v>
      </c>
      <c r="M440" s="2"/>
      <c r="N440" s="2"/>
      <c r="O440" s="2" t="s">
        <v>1466</v>
      </c>
      <c r="P440" s="2" t="s">
        <v>1467</v>
      </c>
      <c r="Q440" s="2"/>
      <c r="R440" s="3" t="n">
        <v>0.94</v>
      </c>
      <c r="S440" s="3" t="n">
        <v>1</v>
      </c>
      <c r="T440" s="3" t="n">
        <v>1.9</v>
      </c>
      <c r="U440" s="2"/>
      <c r="V440" s="2" t="s">
        <v>40</v>
      </c>
      <c r="W440" s="2" t="s">
        <v>3734</v>
      </c>
      <c r="X440" s="5" t="s">
        <v>2251</v>
      </c>
      <c r="Y440" s="2" t="n">
        <v>14888056</v>
      </c>
    </row>
    <row r="441" customFormat="false" ht="15" hidden="false" customHeight="false" outlineLevel="0" collapsed="false">
      <c r="A441" s="2" t="s">
        <v>3852</v>
      </c>
      <c r="B441" s="2" t="s">
        <v>3853</v>
      </c>
      <c r="C441" s="2" t="s">
        <v>285</v>
      </c>
      <c r="D441" s="2" t="s">
        <v>3854</v>
      </c>
      <c r="E441" s="2" t="s">
        <v>90</v>
      </c>
      <c r="F441" s="2" t="s">
        <v>30</v>
      </c>
      <c r="G441" s="2" t="s">
        <v>59</v>
      </c>
      <c r="H441" s="2" t="s">
        <v>3855</v>
      </c>
      <c r="I441" s="2" t="s">
        <v>3856</v>
      </c>
      <c r="J441" s="2" t="s">
        <v>3857</v>
      </c>
      <c r="K441" s="2" t="s">
        <v>3858</v>
      </c>
      <c r="L441" s="2" t="s">
        <v>3859</v>
      </c>
      <c r="M441" s="2"/>
      <c r="N441" s="2"/>
      <c r="O441" s="2" t="s">
        <v>1466</v>
      </c>
      <c r="P441" s="2" t="s">
        <v>1467</v>
      </c>
      <c r="Q441" s="2"/>
      <c r="R441" s="3" t="n">
        <v>0.95</v>
      </c>
      <c r="S441" s="3" t="n">
        <v>1</v>
      </c>
      <c r="T441" s="3" t="n">
        <v>1.9</v>
      </c>
      <c r="U441" s="2"/>
      <c r="V441" s="2" t="s">
        <v>40</v>
      </c>
      <c r="W441" s="2" t="s">
        <v>3734</v>
      </c>
      <c r="X441" s="5" t="s">
        <v>2258</v>
      </c>
      <c r="Y441" s="2" t="n">
        <v>14888055</v>
      </c>
    </row>
    <row r="442" customFormat="false" ht="15" hidden="false" customHeight="false" outlineLevel="0" collapsed="false">
      <c r="A442" s="2" t="s">
        <v>3860</v>
      </c>
      <c r="B442" s="2" t="s">
        <v>3861</v>
      </c>
      <c r="C442" s="2" t="s">
        <v>285</v>
      </c>
      <c r="D442" s="2" t="s">
        <v>3862</v>
      </c>
      <c r="E442" s="2" t="s">
        <v>90</v>
      </c>
      <c r="F442" s="2" t="s">
        <v>30</v>
      </c>
      <c r="G442" s="2" t="s">
        <v>3863</v>
      </c>
      <c r="H442" s="2"/>
      <c r="I442" s="2" t="s">
        <v>3864</v>
      </c>
      <c r="J442" s="2" t="s">
        <v>3865</v>
      </c>
      <c r="K442" s="2" t="s">
        <v>3866</v>
      </c>
      <c r="L442" s="2" t="s">
        <v>3867</v>
      </c>
      <c r="M442" s="2"/>
      <c r="N442" s="2"/>
      <c r="O442" s="2" t="s">
        <v>1466</v>
      </c>
      <c r="P442" s="2" t="s">
        <v>1467</v>
      </c>
      <c r="Q442" s="2"/>
      <c r="R442" s="3" t="n">
        <v>0.95</v>
      </c>
      <c r="S442" s="3" t="n">
        <v>1</v>
      </c>
      <c r="T442" s="3" t="n">
        <v>1.9</v>
      </c>
      <c r="U442" s="2"/>
      <c r="V442" s="2" t="s">
        <v>40</v>
      </c>
      <c r="W442" s="2" t="s">
        <v>3734</v>
      </c>
      <c r="X442" s="5" t="s">
        <v>2251</v>
      </c>
      <c r="Y442" s="2" t="n">
        <v>14888054</v>
      </c>
    </row>
    <row r="443" customFormat="false" ht="15" hidden="false" customHeight="false" outlineLevel="0" collapsed="false">
      <c r="A443" s="2" t="s">
        <v>3868</v>
      </c>
      <c r="B443" s="2" t="s">
        <v>3869</v>
      </c>
      <c r="C443" s="2" t="s">
        <v>285</v>
      </c>
      <c r="D443" s="2" t="s">
        <v>3870</v>
      </c>
      <c r="E443" s="2" t="s">
        <v>90</v>
      </c>
      <c r="F443" s="2" t="s">
        <v>30</v>
      </c>
      <c r="G443" s="2" t="s">
        <v>3871</v>
      </c>
      <c r="H443" s="2" t="s">
        <v>3872</v>
      </c>
      <c r="I443" s="2" t="s">
        <v>3873</v>
      </c>
      <c r="J443" s="2" t="s">
        <v>3874</v>
      </c>
      <c r="K443" s="2" t="s">
        <v>3875</v>
      </c>
      <c r="L443" s="2" t="s">
        <v>2922</v>
      </c>
      <c r="M443" s="2"/>
      <c r="N443" s="2"/>
      <c r="O443" s="2" t="s">
        <v>1466</v>
      </c>
      <c r="P443" s="2" t="s">
        <v>1467</v>
      </c>
      <c r="Q443" s="2"/>
      <c r="R443" s="3" t="n">
        <v>0.95</v>
      </c>
      <c r="S443" s="3" t="n">
        <v>1</v>
      </c>
      <c r="T443" s="3" t="n">
        <v>1.9</v>
      </c>
      <c r="U443" s="2"/>
      <c r="V443" s="2" t="s">
        <v>40</v>
      </c>
      <c r="W443" s="2" t="s">
        <v>3734</v>
      </c>
      <c r="X443" s="5" t="s">
        <v>2258</v>
      </c>
      <c r="Y443" s="2" t="n">
        <v>14888053</v>
      </c>
    </row>
    <row r="444" customFormat="false" ht="15" hidden="false" customHeight="false" outlineLevel="0" collapsed="false">
      <c r="A444" s="2" t="s">
        <v>2111</v>
      </c>
      <c r="B444" s="2" t="s">
        <v>3876</v>
      </c>
      <c r="C444" s="2" t="s">
        <v>3877</v>
      </c>
      <c r="D444" s="2" t="s">
        <v>3878</v>
      </c>
      <c r="E444" s="2" t="s">
        <v>103</v>
      </c>
      <c r="F444" s="2" t="s">
        <v>1739</v>
      </c>
      <c r="G444" s="2" t="s">
        <v>287</v>
      </c>
      <c r="H444" s="2" t="s">
        <v>3879</v>
      </c>
      <c r="I444" s="2" t="s">
        <v>3880</v>
      </c>
      <c r="J444" s="2" t="s">
        <v>3881</v>
      </c>
      <c r="K444" s="2" t="s">
        <v>3882</v>
      </c>
      <c r="L444" s="2" t="s">
        <v>2323</v>
      </c>
      <c r="M444" s="2"/>
      <c r="N444" s="2"/>
      <c r="O444" s="2" t="s">
        <v>1440</v>
      </c>
      <c r="P444" s="2" t="s">
        <v>3883</v>
      </c>
      <c r="Q444" s="2" t="s">
        <v>1720</v>
      </c>
      <c r="R444" s="3" t="n">
        <v>0.81</v>
      </c>
      <c r="S444" s="3" t="n">
        <v>1.1</v>
      </c>
      <c r="T444" s="3" t="n">
        <v>1.8</v>
      </c>
      <c r="U444" s="2" t="s">
        <v>3884</v>
      </c>
      <c r="V444" s="2" t="s">
        <v>40</v>
      </c>
      <c r="W444" s="2" t="s">
        <v>3885</v>
      </c>
      <c r="X444" s="5" t="s">
        <v>2251</v>
      </c>
      <c r="Y444" s="2" t="n">
        <v>14818399</v>
      </c>
    </row>
    <row r="445" customFormat="false" ht="15" hidden="false" customHeight="false" outlineLevel="0" collapsed="false">
      <c r="A445" s="2" t="s">
        <v>680</v>
      </c>
      <c r="B445" s="2" t="s">
        <v>3886</v>
      </c>
      <c r="C445" s="2" t="s">
        <v>3887</v>
      </c>
      <c r="D445" s="2" t="s">
        <v>3888</v>
      </c>
      <c r="E445" s="2" t="s">
        <v>103</v>
      </c>
      <c r="F445" s="2" t="s">
        <v>165</v>
      </c>
      <c r="G445" s="2" t="s">
        <v>389</v>
      </c>
      <c r="H445" s="2" t="s">
        <v>3889</v>
      </c>
      <c r="I445" s="2" t="s">
        <v>3890</v>
      </c>
      <c r="J445" s="2" t="s">
        <v>3891</v>
      </c>
      <c r="K445" s="2" t="s">
        <v>3892</v>
      </c>
      <c r="L445" s="2" t="s">
        <v>605</v>
      </c>
      <c r="M445" s="2"/>
      <c r="N445" s="2"/>
      <c r="O445" s="2" t="s">
        <v>1440</v>
      </c>
      <c r="P445" s="2" t="s">
        <v>3883</v>
      </c>
      <c r="Q445" s="2" t="s">
        <v>1720</v>
      </c>
      <c r="R445" s="3" t="n">
        <v>0.88</v>
      </c>
      <c r="S445" s="3" t="n">
        <v>1.1</v>
      </c>
      <c r="T445" s="3" t="n">
        <v>1.9</v>
      </c>
      <c r="U445" s="2" t="s">
        <v>3893</v>
      </c>
      <c r="V445" s="2" t="s">
        <v>40</v>
      </c>
      <c r="W445" s="2" t="s">
        <v>3885</v>
      </c>
      <c r="X445" s="5" t="s">
        <v>2258</v>
      </c>
      <c r="Y445" s="2" t="n">
        <v>14818393</v>
      </c>
    </row>
    <row r="446" customFormat="false" ht="15" hidden="false" customHeight="false" outlineLevel="0" collapsed="false">
      <c r="A446" s="2" t="s">
        <v>3894</v>
      </c>
      <c r="B446" s="2" t="s">
        <v>3895</v>
      </c>
      <c r="C446" s="2" t="s">
        <v>3896</v>
      </c>
      <c r="D446" s="2" t="s">
        <v>3897</v>
      </c>
      <c r="E446" s="2" t="s">
        <v>103</v>
      </c>
      <c r="F446" s="2" t="s">
        <v>30</v>
      </c>
      <c r="G446" s="2" t="s">
        <v>3898</v>
      </c>
      <c r="H446" s="2" t="s">
        <v>3899</v>
      </c>
      <c r="I446" s="2" t="s">
        <v>3900</v>
      </c>
      <c r="J446" s="2" t="s">
        <v>3901</v>
      </c>
      <c r="K446" s="2" t="s">
        <v>3902</v>
      </c>
      <c r="L446" s="2" t="s">
        <v>1476</v>
      </c>
      <c r="M446" s="2"/>
      <c r="N446" s="2"/>
      <c r="O446" s="2" t="s">
        <v>1440</v>
      </c>
      <c r="P446" s="2" t="s">
        <v>3903</v>
      </c>
      <c r="Q446" s="2" t="s">
        <v>1720</v>
      </c>
      <c r="R446" s="3" t="n">
        <v>0.91</v>
      </c>
      <c r="S446" s="3" t="n">
        <v>1.1</v>
      </c>
      <c r="T446" s="3" t="n">
        <v>1.9</v>
      </c>
      <c r="U446" s="2" t="s">
        <v>3904</v>
      </c>
      <c r="V446" s="2" t="s">
        <v>40</v>
      </c>
      <c r="W446" s="2" t="s">
        <v>3885</v>
      </c>
      <c r="X446" s="5" t="s">
        <v>2251</v>
      </c>
      <c r="Y446" s="2" t="n">
        <v>14818387</v>
      </c>
    </row>
    <row r="447" customFormat="false" ht="15" hidden="false" customHeight="false" outlineLevel="0" collapsed="false">
      <c r="A447" s="2" t="s">
        <v>3905</v>
      </c>
      <c r="B447" s="2" t="s">
        <v>3906</v>
      </c>
      <c r="C447" s="2" t="s">
        <v>3907</v>
      </c>
      <c r="D447" s="2" t="s">
        <v>3908</v>
      </c>
      <c r="E447" s="2" t="s">
        <v>103</v>
      </c>
      <c r="F447" s="2" t="s">
        <v>30</v>
      </c>
      <c r="G447" s="2" t="s">
        <v>666</v>
      </c>
      <c r="H447" s="2" t="s">
        <v>3909</v>
      </c>
      <c r="I447" s="2" t="s">
        <v>3910</v>
      </c>
      <c r="J447" s="2" t="s">
        <v>3911</v>
      </c>
      <c r="K447" s="2" t="s">
        <v>3912</v>
      </c>
      <c r="L447" s="2" t="s">
        <v>3913</v>
      </c>
      <c r="M447" s="2"/>
      <c r="N447" s="2"/>
      <c r="O447" s="2" t="s">
        <v>1440</v>
      </c>
      <c r="P447" s="2" t="s">
        <v>2914</v>
      </c>
      <c r="Q447" s="2" t="s">
        <v>1720</v>
      </c>
      <c r="R447" s="3" t="n">
        <v>1</v>
      </c>
      <c r="S447" s="3" t="n">
        <v>1.1</v>
      </c>
      <c r="T447" s="3" t="n">
        <v>2.1</v>
      </c>
      <c r="U447" s="2" t="s">
        <v>3914</v>
      </c>
      <c r="V447" s="2" t="s">
        <v>40</v>
      </c>
      <c r="W447" s="2" t="s">
        <v>3885</v>
      </c>
      <c r="X447" s="5" t="s">
        <v>2258</v>
      </c>
      <c r="Y447" s="2" t="n">
        <v>14818379</v>
      </c>
    </row>
    <row r="448" customFormat="false" ht="15" hidden="false" customHeight="false" outlineLevel="0" collapsed="false">
      <c r="A448" s="2" t="s">
        <v>3915</v>
      </c>
      <c r="B448" s="2" t="s">
        <v>3916</v>
      </c>
      <c r="C448" s="2" t="s">
        <v>3917</v>
      </c>
      <c r="D448" s="2" t="s">
        <v>3918</v>
      </c>
      <c r="E448" s="2" t="s">
        <v>47</v>
      </c>
      <c r="F448" s="2" t="s">
        <v>165</v>
      </c>
      <c r="G448" s="2" t="s">
        <v>211</v>
      </c>
      <c r="H448" s="2"/>
      <c r="I448" s="2" t="s">
        <v>3919</v>
      </c>
      <c r="J448" s="2" t="s">
        <v>3920</v>
      </c>
      <c r="K448" s="2" t="s">
        <v>3921</v>
      </c>
      <c r="L448" s="2" t="s">
        <v>3922</v>
      </c>
      <c r="M448" s="2"/>
      <c r="N448" s="2"/>
      <c r="O448" s="2" t="s">
        <v>1440</v>
      </c>
      <c r="P448" s="2" t="s">
        <v>3923</v>
      </c>
      <c r="Q448" s="2" t="s">
        <v>2654</v>
      </c>
      <c r="R448" s="3" t="n">
        <v>0.93</v>
      </c>
      <c r="S448" s="3" t="n">
        <v>1.1</v>
      </c>
      <c r="T448" s="3" t="n">
        <v>1.9</v>
      </c>
      <c r="U448" s="2" t="s">
        <v>3924</v>
      </c>
      <c r="V448" s="2" t="s">
        <v>40</v>
      </c>
      <c r="W448" s="2" t="s">
        <v>3925</v>
      </c>
      <c r="X448" s="5" t="s">
        <v>2251</v>
      </c>
      <c r="Y448" s="2" t="n">
        <v>14801297</v>
      </c>
    </row>
    <row r="449" customFormat="false" ht="15" hidden="false" customHeight="false" outlineLevel="0" collapsed="false">
      <c r="A449" s="2" t="s">
        <v>3926</v>
      </c>
      <c r="B449" s="2" t="s">
        <v>3927</v>
      </c>
      <c r="C449" s="2" t="s">
        <v>3928</v>
      </c>
      <c r="D449" s="2" t="s">
        <v>3929</v>
      </c>
      <c r="E449" s="2" t="s">
        <v>90</v>
      </c>
      <c r="F449" s="2" t="s">
        <v>165</v>
      </c>
      <c r="G449" s="2" t="s">
        <v>287</v>
      </c>
      <c r="H449" s="2"/>
      <c r="I449" s="2" t="s">
        <v>3930</v>
      </c>
      <c r="J449" s="2" t="s">
        <v>3931</v>
      </c>
      <c r="K449" s="2" t="s">
        <v>3928</v>
      </c>
      <c r="L449" s="2" t="s">
        <v>3741</v>
      </c>
      <c r="M449" s="2"/>
      <c r="N449" s="2"/>
      <c r="O449" s="2" t="s">
        <v>1440</v>
      </c>
      <c r="P449" s="2" t="s">
        <v>3157</v>
      </c>
      <c r="Q449" s="2" t="s">
        <v>1454</v>
      </c>
      <c r="R449" s="3" t="n">
        <v>0.91</v>
      </c>
      <c r="S449" s="3" t="n">
        <v>1.1</v>
      </c>
      <c r="T449" s="3" t="n">
        <v>1.9</v>
      </c>
      <c r="U449" s="2" t="s">
        <v>3932</v>
      </c>
      <c r="V449" s="2" t="s">
        <v>40</v>
      </c>
      <c r="W449" s="2" t="s">
        <v>3933</v>
      </c>
      <c r="X449" s="5" t="s">
        <v>2258</v>
      </c>
      <c r="Y449" s="2" t="n">
        <v>14800215</v>
      </c>
    </row>
    <row r="450" customFormat="false" ht="15" hidden="false" customHeight="false" outlineLevel="0" collapsed="false">
      <c r="A450" s="2" t="s">
        <v>636</v>
      </c>
      <c r="B450" s="2" t="s">
        <v>3934</v>
      </c>
      <c r="C450" s="2" t="s">
        <v>3935</v>
      </c>
      <c r="D450" s="2" t="s">
        <v>3936</v>
      </c>
      <c r="E450" s="2" t="s">
        <v>103</v>
      </c>
      <c r="F450" s="2" t="s">
        <v>165</v>
      </c>
      <c r="G450" s="2" t="s">
        <v>3937</v>
      </c>
      <c r="H450" s="2" t="s">
        <v>3938</v>
      </c>
      <c r="I450" s="2" t="s">
        <v>3939</v>
      </c>
      <c r="J450" s="2" t="s">
        <v>3940</v>
      </c>
      <c r="K450" s="2" t="s">
        <v>3941</v>
      </c>
      <c r="L450" s="2" t="s">
        <v>3942</v>
      </c>
      <c r="M450" s="2"/>
      <c r="N450" s="2"/>
      <c r="O450" s="2" t="s">
        <v>1440</v>
      </c>
      <c r="P450" s="2" t="s">
        <v>3157</v>
      </c>
      <c r="Q450" s="2" t="s">
        <v>1454</v>
      </c>
      <c r="R450" s="3" t="n">
        <v>0.91</v>
      </c>
      <c r="S450" s="3" t="n">
        <v>1.1</v>
      </c>
      <c r="T450" s="3" t="n">
        <v>1.9</v>
      </c>
      <c r="U450" s="2" t="s">
        <v>3943</v>
      </c>
      <c r="V450" s="2" t="s">
        <v>40</v>
      </c>
      <c r="W450" s="2" t="s">
        <v>3933</v>
      </c>
      <c r="X450" s="5" t="s">
        <v>2251</v>
      </c>
      <c r="Y450" s="2" t="n">
        <v>14800214</v>
      </c>
    </row>
    <row r="451" customFormat="false" ht="15" hidden="false" customHeight="false" outlineLevel="0" collapsed="false">
      <c r="A451" s="2" t="s">
        <v>717</v>
      </c>
      <c r="B451" s="2" t="s">
        <v>3944</v>
      </c>
      <c r="C451" s="2" t="s">
        <v>2017</v>
      </c>
      <c r="D451" s="2" t="s">
        <v>3945</v>
      </c>
      <c r="E451" s="2" t="s">
        <v>1827</v>
      </c>
      <c r="F451" s="2" t="s">
        <v>48</v>
      </c>
      <c r="G451" s="2" t="s">
        <v>674</v>
      </c>
      <c r="H451" s="2" t="s">
        <v>3946</v>
      </c>
      <c r="I451" s="2" t="s">
        <v>3947</v>
      </c>
      <c r="J451" s="2" t="s">
        <v>3948</v>
      </c>
      <c r="K451" s="2" t="s">
        <v>3949</v>
      </c>
      <c r="L451" s="2" t="s">
        <v>2141</v>
      </c>
      <c r="M451" s="2"/>
      <c r="N451" s="2"/>
      <c r="O451" s="2" t="s">
        <v>1440</v>
      </c>
      <c r="P451" s="2" t="s">
        <v>3157</v>
      </c>
      <c r="Q451" s="2" t="s">
        <v>1454</v>
      </c>
      <c r="R451" s="3" t="n">
        <v>0.85</v>
      </c>
      <c r="S451" s="3" t="n">
        <v>1.1</v>
      </c>
      <c r="T451" s="3" t="n">
        <v>1.8</v>
      </c>
      <c r="U451" s="2" t="s">
        <v>3950</v>
      </c>
      <c r="V451" s="2" t="s">
        <v>40</v>
      </c>
      <c r="W451" s="2" t="s">
        <v>3933</v>
      </c>
      <c r="X451" s="5" t="s">
        <v>2258</v>
      </c>
      <c r="Y451" s="2" t="n">
        <v>14800213</v>
      </c>
    </row>
    <row r="452" customFormat="false" ht="15" hidden="false" customHeight="false" outlineLevel="0" collapsed="false">
      <c r="A452" s="2" t="s">
        <v>973</v>
      </c>
      <c r="B452" s="2" t="s">
        <v>3951</v>
      </c>
      <c r="C452" s="2" t="s">
        <v>3952</v>
      </c>
      <c r="D452" s="2" t="s">
        <v>3929</v>
      </c>
      <c r="E452" s="2" t="s">
        <v>244</v>
      </c>
      <c r="F452" s="2" t="s">
        <v>165</v>
      </c>
      <c r="G452" s="2" t="s">
        <v>59</v>
      </c>
      <c r="H452" s="2" t="s">
        <v>3953</v>
      </c>
      <c r="I452" s="2" t="s">
        <v>3954</v>
      </c>
      <c r="J452" s="2" t="s">
        <v>3955</v>
      </c>
      <c r="K452" s="2" t="s">
        <v>3956</v>
      </c>
      <c r="L452" s="2" t="s">
        <v>3957</v>
      </c>
      <c r="M452" s="2"/>
      <c r="N452" s="2"/>
      <c r="O452" s="2" t="s">
        <v>1440</v>
      </c>
      <c r="P452" s="2" t="s">
        <v>3157</v>
      </c>
      <c r="Q452" s="2" t="s">
        <v>1454</v>
      </c>
      <c r="R452" s="3" t="n">
        <v>0.96</v>
      </c>
      <c r="S452" s="3" t="n">
        <v>1.1</v>
      </c>
      <c r="T452" s="3" t="n">
        <v>2</v>
      </c>
      <c r="U452" s="2" t="s">
        <v>3958</v>
      </c>
      <c r="V452" s="2" t="s">
        <v>40</v>
      </c>
      <c r="W452" s="2" t="s">
        <v>3959</v>
      </c>
      <c r="X452" s="5" t="s">
        <v>2251</v>
      </c>
      <c r="Y452" s="2" t="n">
        <v>14800212</v>
      </c>
    </row>
    <row r="453" customFormat="false" ht="15" hidden="false" customHeight="false" outlineLevel="0" collapsed="false">
      <c r="A453" s="2" t="s">
        <v>636</v>
      </c>
      <c r="B453" s="2" t="s">
        <v>3960</v>
      </c>
      <c r="C453" s="2" t="s">
        <v>1048</v>
      </c>
      <c r="D453" s="2" t="s">
        <v>3961</v>
      </c>
      <c r="E453" s="2" t="s">
        <v>103</v>
      </c>
      <c r="F453" s="2" t="s">
        <v>30</v>
      </c>
      <c r="G453" s="2" t="s">
        <v>3962</v>
      </c>
      <c r="H453" s="2" t="s">
        <v>3963</v>
      </c>
      <c r="I453" s="2" t="s">
        <v>3964</v>
      </c>
      <c r="J453" s="2" t="s">
        <v>3965</v>
      </c>
      <c r="K453" s="2" t="s">
        <v>3966</v>
      </c>
      <c r="L453" s="2" t="s">
        <v>2170</v>
      </c>
      <c r="M453" s="2"/>
      <c r="N453" s="2"/>
      <c r="O453" s="2" t="s">
        <v>1440</v>
      </c>
      <c r="P453" s="2" t="s">
        <v>3157</v>
      </c>
      <c r="Q453" s="2" t="s">
        <v>1454</v>
      </c>
      <c r="R453" s="3" t="n">
        <v>0.88</v>
      </c>
      <c r="S453" s="3" t="n">
        <v>1.1</v>
      </c>
      <c r="T453" s="3" t="n">
        <v>1.9</v>
      </c>
      <c r="U453" s="2" t="s">
        <v>3967</v>
      </c>
      <c r="V453" s="2" t="s">
        <v>40</v>
      </c>
      <c r="W453" s="2" t="s">
        <v>3959</v>
      </c>
      <c r="X453" s="5" t="s">
        <v>2258</v>
      </c>
      <c r="Y453" s="2" t="n">
        <v>14800207</v>
      </c>
    </row>
    <row r="454" customFormat="false" ht="15" hidden="false" customHeight="false" outlineLevel="0" collapsed="false">
      <c r="A454" s="2" t="s">
        <v>3968</v>
      </c>
      <c r="B454" s="2" t="s">
        <v>3969</v>
      </c>
      <c r="C454" s="2" t="s">
        <v>3970</v>
      </c>
      <c r="D454" s="2" t="s">
        <v>3971</v>
      </c>
      <c r="E454" s="2" t="s">
        <v>255</v>
      </c>
      <c r="F454" s="2" t="s">
        <v>1487</v>
      </c>
      <c r="G454" s="2" t="s">
        <v>1201</v>
      </c>
      <c r="H454" s="2" t="s">
        <v>3972</v>
      </c>
      <c r="I454" s="2" t="s">
        <v>3973</v>
      </c>
      <c r="J454" s="2" t="s">
        <v>3974</v>
      </c>
      <c r="K454" s="2" t="s">
        <v>3975</v>
      </c>
      <c r="L454" s="2" t="s">
        <v>2257</v>
      </c>
      <c r="M454" s="2"/>
      <c r="N454" s="2"/>
      <c r="O454" s="2" t="s">
        <v>1440</v>
      </c>
      <c r="P454" s="2" t="s">
        <v>3157</v>
      </c>
      <c r="Q454" s="2" t="s">
        <v>1454</v>
      </c>
      <c r="R454" s="3" t="n">
        <v>0.93</v>
      </c>
      <c r="S454" s="3" t="n">
        <v>1.1</v>
      </c>
      <c r="T454" s="3" t="n">
        <v>1.9</v>
      </c>
      <c r="U454" s="2" t="s">
        <v>3976</v>
      </c>
      <c r="V454" s="2" t="s">
        <v>40</v>
      </c>
      <c r="W454" s="2" t="s">
        <v>3959</v>
      </c>
      <c r="X454" s="5" t="s">
        <v>2251</v>
      </c>
      <c r="Y454" s="2" t="n">
        <v>14800206</v>
      </c>
    </row>
    <row r="455" customFormat="false" ht="15" hidden="false" customHeight="false" outlineLevel="0" collapsed="false">
      <c r="A455" s="2" t="s">
        <v>3698</v>
      </c>
      <c r="B455" s="2" t="s">
        <v>2700</v>
      </c>
      <c r="C455" s="2" t="s">
        <v>3977</v>
      </c>
      <c r="D455" s="2" t="s">
        <v>3978</v>
      </c>
      <c r="E455" s="2" t="s">
        <v>103</v>
      </c>
      <c r="F455" s="2" t="s">
        <v>1835</v>
      </c>
      <c r="G455" s="2" t="s">
        <v>1521</v>
      </c>
      <c r="H455" s="2" t="s">
        <v>3979</v>
      </c>
      <c r="I455" s="2" t="s">
        <v>3980</v>
      </c>
      <c r="J455" s="2" t="s">
        <v>3981</v>
      </c>
      <c r="K455" s="2" t="s">
        <v>3982</v>
      </c>
      <c r="L455" s="2" t="s">
        <v>3983</v>
      </c>
      <c r="M455" s="2"/>
      <c r="N455" s="2"/>
      <c r="O455" s="2" t="s">
        <v>1440</v>
      </c>
      <c r="P455" s="2" t="s">
        <v>3984</v>
      </c>
      <c r="Q455" s="2" t="s">
        <v>2606</v>
      </c>
      <c r="R455" s="3" t="n">
        <v>0.82</v>
      </c>
      <c r="S455" s="3" t="n">
        <v>1.1</v>
      </c>
      <c r="T455" s="3" t="n">
        <v>1.8</v>
      </c>
      <c r="U455" s="2" t="s">
        <v>3985</v>
      </c>
      <c r="V455" s="2" t="s">
        <v>40</v>
      </c>
      <c r="W455" s="2" t="s">
        <v>3986</v>
      </c>
      <c r="X455" s="5" t="s">
        <v>2258</v>
      </c>
      <c r="Y455" s="2" t="n">
        <v>14767710</v>
      </c>
    </row>
    <row r="456" customFormat="false" ht="15" hidden="false" customHeight="false" outlineLevel="0" collapsed="false">
      <c r="A456" s="2" t="s">
        <v>3987</v>
      </c>
      <c r="B456" s="2" t="s">
        <v>3988</v>
      </c>
      <c r="C456" s="2" t="s">
        <v>1972</v>
      </c>
      <c r="D456" s="2" t="s">
        <v>3989</v>
      </c>
      <c r="E456" s="2" t="s">
        <v>103</v>
      </c>
      <c r="F456" s="2" t="s">
        <v>165</v>
      </c>
      <c r="G456" s="2" t="s">
        <v>2660</v>
      </c>
      <c r="H456" s="2" t="s">
        <v>3990</v>
      </c>
      <c r="I456" s="2" t="s">
        <v>3991</v>
      </c>
      <c r="J456" s="2" t="s">
        <v>3992</v>
      </c>
      <c r="K456" s="2" t="s">
        <v>3993</v>
      </c>
      <c r="L456" s="2" t="s">
        <v>3306</v>
      </c>
      <c r="M456" s="2"/>
      <c r="N456" s="2"/>
      <c r="O456" s="2" t="s">
        <v>1669</v>
      </c>
      <c r="P456" s="2" t="s">
        <v>3994</v>
      </c>
      <c r="Q456" s="2" t="s">
        <v>1671</v>
      </c>
      <c r="R456" s="3" t="n">
        <v>0.99</v>
      </c>
      <c r="S456" s="3" t="n">
        <v>1.1</v>
      </c>
      <c r="T456" s="3" t="n">
        <v>2</v>
      </c>
      <c r="U456" s="2" t="s">
        <v>3995</v>
      </c>
      <c r="V456" s="2" t="s">
        <v>40</v>
      </c>
      <c r="W456" s="2" t="s">
        <v>3996</v>
      </c>
      <c r="X456" s="5" t="s">
        <v>2251</v>
      </c>
      <c r="Y456" s="2" t="n">
        <v>14743345</v>
      </c>
    </row>
    <row r="457" customFormat="false" ht="15" hidden="false" customHeight="false" outlineLevel="0" collapsed="false">
      <c r="A457" s="2" t="s">
        <v>3997</v>
      </c>
      <c r="B457" s="2" t="s">
        <v>3625</v>
      </c>
      <c r="C457" s="2" t="s">
        <v>494</v>
      </c>
      <c r="D457" s="2" t="s">
        <v>3998</v>
      </c>
      <c r="E457" s="2" t="s">
        <v>103</v>
      </c>
      <c r="F457" s="2" t="s">
        <v>165</v>
      </c>
      <c r="G457" s="2" t="s">
        <v>3999</v>
      </c>
      <c r="H457" s="2" t="s">
        <v>4000</v>
      </c>
      <c r="I457" s="2" t="s">
        <v>4001</v>
      </c>
      <c r="J457" s="2" t="s">
        <v>4002</v>
      </c>
      <c r="K457" s="2" t="s">
        <v>4003</v>
      </c>
      <c r="L457" s="2" t="s">
        <v>623</v>
      </c>
      <c r="M457" s="2"/>
      <c r="N457" s="2"/>
      <c r="O457" s="2" t="s">
        <v>37</v>
      </c>
      <c r="P457" s="2" t="s">
        <v>38</v>
      </c>
      <c r="Q457" s="2"/>
      <c r="R457" s="3" t="n">
        <v>0.91</v>
      </c>
      <c r="S457" s="3" t="n">
        <v>1.2</v>
      </c>
      <c r="T457" s="3" t="n">
        <v>2</v>
      </c>
      <c r="U457" s="2" t="s">
        <v>4004</v>
      </c>
      <c r="V457" s="2" t="s">
        <v>40</v>
      </c>
      <c r="W457" s="2" t="s">
        <v>4005</v>
      </c>
      <c r="X457" s="5" t="s">
        <v>2258</v>
      </c>
      <c r="Y457" s="2" t="n">
        <v>14716088</v>
      </c>
    </row>
    <row r="458" customFormat="false" ht="15" hidden="false" customHeight="false" outlineLevel="0" collapsed="false">
      <c r="A458" s="2" t="s">
        <v>1885</v>
      </c>
      <c r="B458" s="2" t="s">
        <v>4006</v>
      </c>
      <c r="C458" s="2" t="s">
        <v>1324</v>
      </c>
      <c r="D458" s="2" t="s">
        <v>4007</v>
      </c>
      <c r="E458" s="2" t="s">
        <v>103</v>
      </c>
      <c r="F458" s="2" t="s">
        <v>30</v>
      </c>
      <c r="G458" s="2" t="s">
        <v>4008</v>
      </c>
      <c r="H458" s="2" t="s">
        <v>4009</v>
      </c>
      <c r="I458" s="2" t="s">
        <v>4010</v>
      </c>
      <c r="J458" s="2" t="s">
        <v>4011</v>
      </c>
      <c r="K458" s="2" t="s">
        <v>4012</v>
      </c>
      <c r="L458" s="2" t="s">
        <v>4013</v>
      </c>
      <c r="M458" s="2"/>
      <c r="N458" s="2"/>
      <c r="O458" s="2" t="s">
        <v>37</v>
      </c>
      <c r="P458" s="2" t="s">
        <v>38</v>
      </c>
      <c r="Q458" s="2"/>
      <c r="R458" s="3" t="n">
        <v>0.93</v>
      </c>
      <c r="S458" s="3" t="n">
        <v>1.2</v>
      </c>
      <c r="T458" s="3" t="n">
        <v>2</v>
      </c>
      <c r="U458" s="2" t="s">
        <v>4014</v>
      </c>
      <c r="V458" s="2" t="s">
        <v>40</v>
      </c>
      <c r="W458" s="2" t="s">
        <v>4005</v>
      </c>
      <c r="X458" s="5" t="s">
        <v>2251</v>
      </c>
      <c r="Y458" s="2" t="n">
        <v>14716087</v>
      </c>
    </row>
    <row r="459" customFormat="false" ht="15" hidden="false" customHeight="false" outlineLevel="0" collapsed="false">
      <c r="A459" s="2" t="s">
        <v>4015</v>
      </c>
      <c r="B459" s="2" t="s">
        <v>4016</v>
      </c>
      <c r="C459" s="2" t="s">
        <v>4017</v>
      </c>
      <c r="D459" s="2" t="s">
        <v>4018</v>
      </c>
      <c r="E459" s="2" t="s">
        <v>58</v>
      </c>
      <c r="F459" s="2" t="s">
        <v>2039</v>
      </c>
      <c r="G459" s="2" t="s">
        <v>4019</v>
      </c>
      <c r="H459" s="2" t="s">
        <v>4020</v>
      </c>
      <c r="I459" s="2" t="s">
        <v>4021</v>
      </c>
      <c r="J459" s="2" t="s">
        <v>4022</v>
      </c>
      <c r="K459" s="2" t="s">
        <v>4023</v>
      </c>
      <c r="L459" s="2" t="s">
        <v>4024</v>
      </c>
      <c r="M459" s="2"/>
      <c r="N459" s="2"/>
      <c r="O459" s="2" t="s">
        <v>37</v>
      </c>
      <c r="P459" s="2" t="s">
        <v>38</v>
      </c>
      <c r="Q459" s="2"/>
      <c r="R459" s="3" t="n">
        <v>0.87</v>
      </c>
      <c r="S459" s="3" t="n">
        <v>1.2</v>
      </c>
      <c r="T459" s="3" t="n">
        <v>1.9</v>
      </c>
      <c r="U459" s="2" t="s">
        <v>4025</v>
      </c>
      <c r="V459" s="2" t="s">
        <v>40</v>
      </c>
      <c r="W459" s="2" t="s">
        <v>4005</v>
      </c>
      <c r="X459" s="5" t="s">
        <v>2258</v>
      </c>
      <c r="Y459" s="2" t="n">
        <v>14716086</v>
      </c>
    </row>
    <row r="460" customFormat="false" ht="15" hidden="false" customHeight="false" outlineLevel="0" collapsed="false">
      <c r="A460" s="2" t="s">
        <v>4026</v>
      </c>
      <c r="B460" s="2" t="s">
        <v>4027</v>
      </c>
      <c r="C460" s="2" t="s">
        <v>1660</v>
      </c>
      <c r="D460" s="2" t="s">
        <v>4028</v>
      </c>
      <c r="E460" s="2" t="s">
        <v>103</v>
      </c>
      <c r="F460" s="2" t="s">
        <v>165</v>
      </c>
      <c r="G460" s="2" t="s">
        <v>3122</v>
      </c>
      <c r="H460" s="2" t="s">
        <v>4029</v>
      </c>
      <c r="I460" s="2" t="s">
        <v>4030</v>
      </c>
      <c r="J460" s="2" t="s">
        <v>4031</v>
      </c>
      <c r="K460" s="2" t="s">
        <v>4032</v>
      </c>
      <c r="L460" s="2" t="s">
        <v>2288</v>
      </c>
      <c r="M460" s="2"/>
      <c r="N460" s="2"/>
      <c r="O460" s="2" t="s">
        <v>37</v>
      </c>
      <c r="P460" s="2" t="s">
        <v>38</v>
      </c>
      <c r="Q460" s="2"/>
      <c r="R460" s="3" t="n">
        <v>0.94</v>
      </c>
      <c r="S460" s="3" t="n">
        <v>1.2</v>
      </c>
      <c r="T460" s="3" t="n">
        <v>2</v>
      </c>
      <c r="U460" s="2" t="s">
        <v>4033</v>
      </c>
      <c r="V460" s="2" t="s">
        <v>40</v>
      </c>
      <c r="W460" s="2" t="s">
        <v>4005</v>
      </c>
      <c r="X460" s="5" t="s">
        <v>2251</v>
      </c>
      <c r="Y460" s="2" t="n">
        <v>14716070</v>
      </c>
    </row>
    <row r="461" customFormat="false" ht="15" hidden="false" customHeight="false" outlineLevel="0" collapsed="false">
      <c r="A461" s="2" t="s">
        <v>4034</v>
      </c>
      <c r="B461" s="2" t="s">
        <v>4035</v>
      </c>
      <c r="C461" s="2" t="s">
        <v>1895</v>
      </c>
      <c r="D461" s="2" t="s">
        <v>4036</v>
      </c>
      <c r="E461" s="2" t="s">
        <v>103</v>
      </c>
      <c r="F461" s="2" t="s">
        <v>165</v>
      </c>
      <c r="G461" s="2" t="s">
        <v>2683</v>
      </c>
      <c r="H461" s="2" t="s">
        <v>4037</v>
      </c>
      <c r="I461" s="2" t="s">
        <v>4038</v>
      </c>
      <c r="J461" s="2" t="s">
        <v>4039</v>
      </c>
      <c r="K461" s="2" t="s">
        <v>4040</v>
      </c>
      <c r="L461" s="2" t="s">
        <v>238</v>
      </c>
      <c r="M461" s="2"/>
      <c r="N461" s="2"/>
      <c r="O461" s="2" t="s">
        <v>37</v>
      </c>
      <c r="P461" s="2" t="s">
        <v>38</v>
      </c>
      <c r="Q461" s="2"/>
      <c r="R461" s="3" t="n">
        <v>0.89</v>
      </c>
      <c r="S461" s="3" t="n">
        <v>1.2</v>
      </c>
      <c r="T461" s="3" t="n">
        <v>1.9</v>
      </c>
      <c r="U461" s="2" t="s">
        <v>4041</v>
      </c>
      <c r="V461" s="2" t="s">
        <v>40</v>
      </c>
      <c r="W461" s="2" t="s">
        <v>4005</v>
      </c>
      <c r="X461" s="5" t="s">
        <v>2258</v>
      </c>
      <c r="Y461" s="2" t="n">
        <v>14716069</v>
      </c>
    </row>
    <row r="462" customFormat="false" ht="15" hidden="false" customHeight="false" outlineLevel="0" collapsed="false">
      <c r="A462" s="2" t="s">
        <v>4042</v>
      </c>
      <c r="B462" s="2" t="s">
        <v>524</v>
      </c>
      <c r="C462" s="2" t="s">
        <v>4043</v>
      </c>
      <c r="D462" s="2" t="s">
        <v>4044</v>
      </c>
      <c r="E462" s="2" t="s">
        <v>103</v>
      </c>
      <c r="F462" s="2" t="s">
        <v>1782</v>
      </c>
      <c r="G462" s="2" t="s">
        <v>836</v>
      </c>
      <c r="H462" s="2" t="s">
        <v>4045</v>
      </c>
      <c r="I462" s="2" t="s">
        <v>4046</v>
      </c>
      <c r="J462" s="2" t="s">
        <v>4047</v>
      </c>
      <c r="K462" s="2" t="s">
        <v>4048</v>
      </c>
      <c r="L462" s="2" t="s">
        <v>1668</v>
      </c>
      <c r="M462" s="2"/>
      <c r="N462" s="2"/>
      <c r="O462" s="2" t="s">
        <v>37</v>
      </c>
      <c r="P462" s="2" t="s">
        <v>38</v>
      </c>
      <c r="Q462" s="2"/>
      <c r="R462" s="3" t="n">
        <v>0.8</v>
      </c>
      <c r="S462" s="3" t="n">
        <v>1.2</v>
      </c>
      <c r="T462" s="3" t="n">
        <v>1.8</v>
      </c>
      <c r="U462" s="2" t="s">
        <v>4049</v>
      </c>
      <c r="V462" s="2" t="s">
        <v>40</v>
      </c>
      <c r="W462" s="2" t="s">
        <v>4005</v>
      </c>
      <c r="X462" s="5" t="s">
        <v>2251</v>
      </c>
      <c r="Y462" s="2" t="n">
        <v>14716066</v>
      </c>
    </row>
    <row r="463" customFormat="false" ht="15" hidden="false" customHeight="false" outlineLevel="0" collapsed="false">
      <c r="A463" s="2" t="s">
        <v>4050</v>
      </c>
      <c r="B463" s="2" t="s">
        <v>4051</v>
      </c>
      <c r="C463" s="2" t="s">
        <v>425</v>
      </c>
      <c r="D463" s="2" t="s">
        <v>4052</v>
      </c>
      <c r="E463" s="2" t="s">
        <v>103</v>
      </c>
      <c r="F463" s="2" t="s">
        <v>165</v>
      </c>
      <c r="G463" s="2" t="s">
        <v>4053</v>
      </c>
      <c r="H463" s="2" t="s">
        <v>4054</v>
      </c>
      <c r="I463" s="2" t="s">
        <v>4055</v>
      </c>
      <c r="J463" s="2" t="s">
        <v>4056</v>
      </c>
      <c r="K463" s="2" t="s">
        <v>4057</v>
      </c>
      <c r="L463" s="2" t="s">
        <v>4058</v>
      </c>
      <c r="M463" s="2"/>
      <c r="N463" s="2"/>
      <c r="O463" s="2" t="s">
        <v>37</v>
      </c>
      <c r="P463" s="2" t="s">
        <v>38</v>
      </c>
      <c r="Q463" s="2"/>
      <c r="R463" s="3" t="n">
        <v>0.93</v>
      </c>
      <c r="S463" s="3" t="n">
        <v>1.2</v>
      </c>
      <c r="T463" s="3" t="n">
        <v>2</v>
      </c>
      <c r="U463" s="2" t="s">
        <v>4059</v>
      </c>
      <c r="V463" s="2" t="s">
        <v>40</v>
      </c>
      <c r="W463" s="2" t="s">
        <v>4005</v>
      </c>
      <c r="X463" s="5" t="s">
        <v>2258</v>
      </c>
      <c r="Y463" s="2" t="n">
        <v>14716065</v>
      </c>
    </row>
    <row r="464" customFormat="false" ht="15" hidden="false" customHeight="false" outlineLevel="0" collapsed="false">
      <c r="A464" s="2" t="s">
        <v>973</v>
      </c>
      <c r="B464" s="2" t="s">
        <v>4060</v>
      </c>
      <c r="C464" s="2" t="s">
        <v>4061</v>
      </c>
      <c r="D464" s="2" t="s">
        <v>4062</v>
      </c>
      <c r="E464" s="2" t="s">
        <v>103</v>
      </c>
      <c r="F464" s="2" t="s">
        <v>2039</v>
      </c>
      <c r="G464" s="2" t="s">
        <v>4063</v>
      </c>
      <c r="H464" s="2" t="s">
        <v>4064</v>
      </c>
      <c r="I464" s="2" t="s">
        <v>4065</v>
      </c>
      <c r="J464" s="2" t="s">
        <v>4066</v>
      </c>
      <c r="K464" s="6" t="s">
        <v>4067</v>
      </c>
      <c r="L464" s="2" t="s">
        <v>4068</v>
      </c>
      <c r="M464" s="2"/>
      <c r="N464" s="2"/>
      <c r="O464" s="2" t="s">
        <v>37</v>
      </c>
      <c r="P464" s="2" t="s">
        <v>38</v>
      </c>
      <c r="Q464" s="2"/>
      <c r="R464" s="3" t="n">
        <v>0.88</v>
      </c>
      <c r="S464" s="3" t="n">
        <v>1.2</v>
      </c>
      <c r="T464" s="3" t="n">
        <v>1.9</v>
      </c>
      <c r="U464" s="2" t="s">
        <v>4069</v>
      </c>
      <c r="V464" s="2" t="s">
        <v>40</v>
      </c>
      <c r="W464" s="2" t="s">
        <v>4005</v>
      </c>
      <c r="X464" s="5" t="s">
        <v>2251</v>
      </c>
      <c r="Y464" s="2" t="n">
        <v>14716064</v>
      </c>
    </row>
    <row r="465" customFormat="false" ht="15" hidden="false" customHeight="false" outlineLevel="0" collapsed="false">
      <c r="A465" s="2" t="s">
        <v>4070</v>
      </c>
      <c r="B465" s="2" t="s">
        <v>4071</v>
      </c>
      <c r="C465" s="2" t="s">
        <v>4072</v>
      </c>
      <c r="D465" s="2" t="s">
        <v>4073</v>
      </c>
      <c r="E465" s="2" t="s">
        <v>103</v>
      </c>
      <c r="F465" s="2" t="s">
        <v>30</v>
      </c>
      <c r="G465" s="2" t="s">
        <v>666</v>
      </c>
      <c r="H465" s="2" t="s">
        <v>4074</v>
      </c>
      <c r="I465" s="2" t="s">
        <v>4075</v>
      </c>
      <c r="J465" s="2" t="s">
        <v>4076</v>
      </c>
      <c r="K465" s="2" t="s">
        <v>4077</v>
      </c>
      <c r="L465" s="2" t="s">
        <v>2703</v>
      </c>
      <c r="M465" s="2"/>
      <c r="N465" s="2"/>
      <c r="O465" s="2" t="s">
        <v>37</v>
      </c>
      <c r="P465" s="2" t="s">
        <v>38</v>
      </c>
      <c r="Q465" s="2"/>
      <c r="R465" s="3" t="n">
        <v>0.97</v>
      </c>
      <c r="S465" s="3" t="n">
        <v>1.2</v>
      </c>
      <c r="T465" s="3" t="n">
        <v>2</v>
      </c>
      <c r="U465" s="2" t="s">
        <v>4078</v>
      </c>
      <c r="V465" s="2" t="s">
        <v>40</v>
      </c>
      <c r="W465" s="2" t="s">
        <v>4005</v>
      </c>
      <c r="X465" s="5" t="s">
        <v>2258</v>
      </c>
      <c r="Y465" s="2" t="n">
        <v>14716061</v>
      </c>
    </row>
    <row r="466" customFormat="false" ht="15" hidden="false" customHeight="false" outlineLevel="0" collapsed="false">
      <c r="A466" s="2" t="s">
        <v>2339</v>
      </c>
      <c r="B466" s="2" t="s">
        <v>4079</v>
      </c>
      <c r="C466" s="2" t="s">
        <v>2017</v>
      </c>
      <c r="D466" s="2" t="s">
        <v>4080</v>
      </c>
      <c r="E466" s="2" t="s">
        <v>103</v>
      </c>
      <c r="F466" s="2" t="s">
        <v>165</v>
      </c>
      <c r="G466" s="2" t="s">
        <v>59</v>
      </c>
      <c r="H466" s="2" t="s">
        <v>4081</v>
      </c>
      <c r="I466" s="2" t="s">
        <v>4082</v>
      </c>
      <c r="J466" s="2" t="s">
        <v>4083</v>
      </c>
      <c r="K466" s="2" t="s">
        <v>4084</v>
      </c>
      <c r="L466" s="2" t="s">
        <v>1492</v>
      </c>
      <c r="M466" s="2"/>
      <c r="N466" s="2"/>
      <c r="O466" s="2" t="s">
        <v>37</v>
      </c>
      <c r="P466" s="2" t="s">
        <v>38</v>
      </c>
      <c r="Q466" s="2"/>
      <c r="R466" s="3" t="n">
        <v>0.9</v>
      </c>
      <c r="S466" s="3" t="n">
        <v>1.2</v>
      </c>
      <c r="T466" s="3" t="n">
        <v>1.9</v>
      </c>
      <c r="U466" s="2" t="s">
        <v>4085</v>
      </c>
      <c r="V466" s="2" t="s">
        <v>40</v>
      </c>
      <c r="W466" s="2" t="s">
        <v>4005</v>
      </c>
      <c r="X466" s="5" t="s">
        <v>2251</v>
      </c>
      <c r="Y466" s="2" t="n">
        <v>14716057</v>
      </c>
    </row>
    <row r="467" customFormat="false" ht="15" hidden="false" customHeight="false" outlineLevel="0" collapsed="false">
      <c r="A467" s="2" t="s">
        <v>4086</v>
      </c>
      <c r="B467" s="2" t="s">
        <v>4087</v>
      </c>
      <c r="C467" s="2" t="s">
        <v>2017</v>
      </c>
      <c r="D467" s="2" t="s">
        <v>4088</v>
      </c>
      <c r="E467" s="2" t="s">
        <v>244</v>
      </c>
      <c r="F467" s="2" t="s">
        <v>165</v>
      </c>
      <c r="G467" s="2" t="s">
        <v>1879</v>
      </c>
      <c r="H467" s="2" t="s">
        <v>4089</v>
      </c>
      <c r="I467" s="2" t="s">
        <v>4090</v>
      </c>
      <c r="J467" s="2" t="s">
        <v>4091</v>
      </c>
      <c r="K467" s="2" t="s">
        <v>4092</v>
      </c>
      <c r="L467" s="2" t="s">
        <v>1978</v>
      </c>
      <c r="M467" s="2"/>
      <c r="N467" s="2"/>
      <c r="O467" s="2" t="s">
        <v>37</v>
      </c>
      <c r="P467" s="2" t="s">
        <v>38</v>
      </c>
      <c r="Q467" s="2"/>
      <c r="R467" s="3" t="n">
        <v>0.96</v>
      </c>
      <c r="S467" s="3" t="n">
        <v>1.2</v>
      </c>
      <c r="T467" s="3" t="n">
        <v>2</v>
      </c>
      <c r="U467" s="2" t="s">
        <v>4093</v>
      </c>
      <c r="V467" s="2" t="s">
        <v>40</v>
      </c>
      <c r="W467" s="2" t="s">
        <v>4094</v>
      </c>
      <c r="X467" s="5" t="s">
        <v>2258</v>
      </c>
      <c r="Y467" s="2" t="n">
        <v>14716054</v>
      </c>
    </row>
    <row r="468" customFormat="false" ht="15" hidden="false" customHeight="false" outlineLevel="0" collapsed="false">
      <c r="A468" s="2" t="s">
        <v>2054</v>
      </c>
      <c r="B468" s="2" t="s">
        <v>4095</v>
      </c>
      <c r="C468" s="2" t="s">
        <v>4096</v>
      </c>
      <c r="D468" s="2" t="s">
        <v>4097</v>
      </c>
      <c r="E468" s="2" t="s">
        <v>103</v>
      </c>
      <c r="F468" s="2" t="s">
        <v>165</v>
      </c>
      <c r="G468" s="2" t="s">
        <v>4098</v>
      </c>
      <c r="H468" s="2" t="s">
        <v>4099</v>
      </c>
      <c r="I468" s="2" t="s">
        <v>4100</v>
      </c>
      <c r="J468" s="2" t="s">
        <v>4101</v>
      </c>
      <c r="K468" s="2" t="s">
        <v>4102</v>
      </c>
      <c r="L468" s="2" t="s">
        <v>2249</v>
      </c>
      <c r="M468" s="2"/>
      <c r="N468" s="2"/>
      <c r="O468" s="2" t="s">
        <v>37</v>
      </c>
      <c r="P468" s="2" t="s">
        <v>38</v>
      </c>
      <c r="Q468" s="2"/>
      <c r="R468" s="3" t="n">
        <v>0.96</v>
      </c>
      <c r="S468" s="3" t="n">
        <v>1.2</v>
      </c>
      <c r="T468" s="3" t="n">
        <v>2</v>
      </c>
      <c r="U468" s="2" t="s">
        <v>4103</v>
      </c>
      <c r="V468" s="2" t="s">
        <v>40</v>
      </c>
      <c r="W468" s="2" t="s">
        <v>4094</v>
      </c>
      <c r="X468" s="5" t="s">
        <v>2251</v>
      </c>
      <c r="Y468" s="2" t="n">
        <v>14716050</v>
      </c>
    </row>
    <row r="469" customFormat="false" ht="15" hidden="false" customHeight="false" outlineLevel="0" collapsed="false">
      <c r="A469" s="2" t="s">
        <v>4104</v>
      </c>
      <c r="B469" s="2" t="s">
        <v>957</v>
      </c>
      <c r="C469" s="2" t="s">
        <v>4105</v>
      </c>
      <c r="D469" s="2" t="s">
        <v>4106</v>
      </c>
      <c r="E469" s="2" t="s">
        <v>103</v>
      </c>
      <c r="F469" s="2" t="s">
        <v>30</v>
      </c>
      <c r="G469" s="2" t="s">
        <v>145</v>
      </c>
      <c r="H469" s="2" t="s">
        <v>4107</v>
      </c>
      <c r="I469" s="2" t="s">
        <v>4108</v>
      </c>
      <c r="J469" s="2" t="s">
        <v>4109</v>
      </c>
      <c r="K469" s="2" t="s">
        <v>4110</v>
      </c>
      <c r="L469" s="2" t="s">
        <v>4111</v>
      </c>
      <c r="M469" s="2"/>
      <c r="N469" s="2"/>
      <c r="O469" s="2" t="s">
        <v>37</v>
      </c>
      <c r="P469" s="2" t="s">
        <v>38</v>
      </c>
      <c r="Q469" s="2"/>
      <c r="R469" s="3" t="n">
        <v>0.91</v>
      </c>
      <c r="S469" s="3" t="n">
        <v>1.2</v>
      </c>
      <c r="T469" s="3" t="n">
        <v>2</v>
      </c>
      <c r="U469" s="2" t="s">
        <v>4112</v>
      </c>
      <c r="V469" s="2" t="s">
        <v>40</v>
      </c>
      <c r="W469" s="2" t="s">
        <v>4094</v>
      </c>
      <c r="X469" s="5" t="s">
        <v>2258</v>
      </c>
      <c r="Y469" s="2" t="n">
        <v>14716046</v>
      </c>
    </row>
    <row r="470" customFormat="false" ht="15" hidden="false" customHeight="false" outlineLevel="0" collapsed="false">
      <c r="A470" s="2" t="s">
        <v>4113</v>
      </c>
      <c r="B470" s="2" t="s">
        <v>4114</v>
      </c>
      <c r="C470" s="2" t="s">
        <v>4115</v>
      </c>
      <c r="D470" s="2" t="s">
        <v>4116</v>
      </c>
      <c r="E470" s="2" t="s">
        <v>47</v>
      </c>
      <c r="F470" s="2" t="s">
        <v>48</v>
      </c>
      <c r="G470" s="2" t="s">
        <v>836</v>
      </c>
      <c r="H470" s="2" t="s">
        <v>4117</v>
      </c>
      <c r="I470" s="2" t="s">
        <v>4118</v>
      </c>
      <c r="J470" s="2" t="s">
        <v>4119</v>
      </c>
      <c r="K470" s="2" t="s">
        <v>4120</v>
      </c>
      <c r="L470" s="2" t="s">
        <v>4121</v>
      </c>
      <c r="M470" s="2"/>
      <c r="N470" s="2"/>
      <c r="O470" s="2" t="s">
        <v>37</v>
      </c>
      <c r="P470" s="2" t="s">
        <v>38</v>
      </c>
      <c r="Q470" s="2"/>
      <c r="R470" s="3" t="n">
        <v>0.92</v>
      </c>
      <c r="S470" s="3" t="n">
        <v>1.2</v>
      </c>
      <c r="T470" s="3" t="n">
        <v>2</v>
      </c>
      <c r="U470" s="2" t="s">
        <v>4122</v>
      </c>
      <c r="V470" s="2" t="s">
        <v>40</v>
      </c>
      <c r="W470" s="2" t="s">
        <v>4094</v>
      </c>
      <c r="X470" s="5" t="s">
        <v>2251</v>
      </c>
      <c r="Y470" s="2" t="n">
        <v>14716043</v>
      </c>
    </row>
    <row r="471" customFormat="false" ht="15" hidden="false" customHeight="false" outlineLevel="0" collapsed="false">
      <c r="A471" s="2" t="s">
        <v>4123</v>
      </c>
      <c r="B471" s="2" t="s">
        <v>2047</v>
      </c>
      <c r="C471" s="2" t="s">
        <v>27</v>
      </c>
      <c r="D471" s="2" t="s">
        <v>2048</v>
      </c>
      <c r="E471" s="2" t="s">
        <v>103</v>
      </c>
      <c r="F471" s="2" t="s">
        <v>30</v>
      </c>
      <c r="G471" s="2" t="s">
        <v>836</v>
      </c>
      <c r="H471" s="2" t="s">
        <v>2049</v>
      </c>
      <c r="I471" s="2" t="s">
        <v>4124</v>
      </c>
      <c r="J471" s="2" t="s">
        <v>2051</v>
      </c>
      <c r="K471" s="2" t="s">
        <v>4125</v>
      </c>
      <c r="L471" s="2" t="s">
        <v>733</v>
      </c>
      <c r="M471" s="2"/>
      <c r="N471" s="2"/>
      <c r="O471" s="2" t="s">
        <v>37</v>
      </c>
      <c r="P471" s="2" t="s">
        <v>38</v>
      </c>
      <c r="Q471" s="2"/>
      <c r="R471" s="3" t="n">
        <v>0.94</v>
      </c>
      <c r="S471" s="3" t="n">
        <v>1.2</v>
      </c>
      <c r="T471" s="3" t="n">
        <v>2</v>
      </c>
      <c r="U471" s="2" t="s">
        <v>4126</v>
      </c>
      <c r="V471" s="2" t="s">
        <v>40</v>
      </c>
      <c r="W471" s="2" t="s">
        <v>4094</v>
      </c>
      <c r="X471" s="5" t="s">
        <v>2258</v>
      </c>
      <c r="Y471" s="2" t="n">
        <v>14716041</v>
      </c>
    </row>
    <row r="472" customFormat="false" ht="15" hidden="false" customHeight="false" outlineLevel="0" collapsed="false">
      <c r="A472" s="2" t="s">
        <v>4127</v>
      </c>
      <c r="B472" s="2" t="s">
        <v>2087</v>
      </c>
      <c r="C472" s="2" t="s">
        <v>4128</v>
      </c>
      <c r="D472" s="2" t="s">
        <v>4129</v>
      </c>
      <c r="E472" s="2" t="s">
        <v>58</v>
      </c>
      <c r="F472" s="2" t="s">
        <v>2039</v>
      </c>
      <c r="G472" s="2" t="s">
        <v>2683</v>
      </c>
      <c r="H472" s="2" t="s">
        <v>4130</v>
      </c>
      <c r="I472" s="2" t="s">
        <v>4131</v>
      </c>
      <c r="J472" s="2" t="s">
        <v>4132</v>
      </c>
      <c r="K472" s="6" t="s">
        <v>4133</v>
      </c>
      <c r="L472" s="2" t="s">
        <v>4134</v>
      </c>
      <c r="M472" s="2"/>
      <c r="N472" s="2"/>
      <c r="O472" s="2" t="s">
        <v>37</v>
      </c>
      <c r="P472" s="2" t="s">
        <v>38</v>
      </c>
      <c r="Q472" s="2"/>
      <c r="R472" s="3" t="n">
        <v>0.91</v>
      </c>
      <c r="S472" s="3" t="n">
        <v>1.2</v>
      </c>
      <c r="T472" s="3" t="n">
        <v>2</v>
      </c>
      <c r="U472" s="2" t="s">
        <v>4135</v>
      </c>
      <c r="V472" s="2" t="s">
        <v>40</v>
      </c>
      <c r="W472" s="2" t="s">
        <v>4094</v>
      </c>
      <c r="X472" s="5" t="s">
        <v>2251</v>
      </c>
      <c r="Y472" s="2" t="n">
        <v>14716039</v>
      </c>
    </row>
    <row r="473" customFormat="false" ht="15" hidden="false" customHeight="false" outlineLevel="0" collapsed="false">
      <c r="A473" s="2" t="s">
        <v>2150</v>
      </c>
      <c r="B473" s="2" t="s">
        <v>4136</v>
      </c>
      <c r="C473" s="2" t="s">
        <v>4137</v>
      </c>
      <c r="D473" s="2" t="s">
        <v>4138</v>
      </c>
      <c r="E473" s="2" t="s">
        <v>244</v>
      </c>
      <c r="F473" s="2" t="s">
        <v>165</v>
      </c>
      <c r="G473" s="2" t="s">
        <v>59</v>
      </c>
      <c r="H473" s="2" t="s">
        <v>4139</v>
      </c>
      <c r="I473" s="2" t="s">
        <v>4140</v>
      </c>
      <c r="J473" s="2" t="s">
        <v>4141</v>
      </c>
      <c r="K473" s="2" t="s">
        <v>4142</v>
      </c>
      <c r="L473" s="2" t="s">
        <v>2517</v>
      </c>
      <c r="M473" s="2"/>
      <c r="N473" s="2"/>
      <c r="O473" s="2" t="s">
        <v>37</v>
      </c>
      <c r="P473" s="2" t="s">
        <v>38</v>
      </c>
      <c r="Q473" s="2"/>
      <c r="R473" s="3" t="n">
        <v>1</v>
      </c>
      <c r="S473" s="3" t="n">
        <v>1.2</v>
      </c>
      <c r="T473" s="3" t="n">
        <v>2.1</v>
      </c>
      <c r="U473" s="2" t="s">
        <v>4143</v>
      </c>
      <c r="V473" s="2" t="s">
        <v>40</v>
      </c>
      <c r="W473" s="2" t="s">
        <v>4094</v>
      </c>
      <c r="X473" s="5" t="s">
        <v>2258</v>
      </c>
      <c r="Y473" s="2" t="n">
        <v>14716032</v>
      </c>
    </row>
    <row r="474" customFormat="false" ht="15" hidden="false" customHeight="false" outlineLevel="0" collapsed="false">
      <c r="A474" s="2" t="s">
        <v>4144</v>
      </c>
      <c r="B474" s="2" t="s">
        <v>4145</v>
      </c>
      <c r="C474" s="2" t="s">
        <v>4146</v>
      </c>
      <c r="D474" s="2" t="s">
        <v>4147</v>
      </c>
      <c r="E474" s="2" t="s">
        <v>58</v>
      </c>
      <c r="F474" s="2" t="s">
        <v>48</v>
      </c>
      <c r="G474" s="2" t="s">
        <v>2175</v>
      </c>
      <c r="H474" s="2" t="s">
        <v>4148</v>
      </c>
      <c r="I474" s="2" t="s">
        <v>4149</v>
      </c>
      <c r="J474" s="2" t="s">
        <v>4150</v>
      </c>
      <c r="K474" s="6" t="s">
        <v>4151</v>
      </c>
      <c r="L474" s="2" t="s">
        <v>4152</v>
      </c>
      <c r="M474" s="2"/>
      <c r="N474" s="2"/>
      <c r="O474" s="2" t="s">
        <v>37</v>
      </c>
      <c r="P474" s="2" t="s">
        <v>38</v>
      </c>
      <c r="Q474" s="2"/>
      <c r="R474" s="3" t="n">
        <v>0.88</v>
      </c>
      <c r="S474" s="3" t="n">
        <v>1.2</v>
      </c>
      <c r="T474" s="3" t="n">
        <v>1.9</v>
      </c>
      <c r="U474" s="2" t="s">
        <v>4153</v>
      </c>
      <c r="V474" s="2" t="s">
        <v>40</v>
      </c>
      <c r="W474" s="2" t="s">
        <v>4094</v>
      </c>
      <c r="X474" s="5" t="s">
        <v>2251</v>
      </c>
      <c r="Y474" s="2" t="n">
        <v>14716031</v>
      </c>
    </row>
    <row r="475" customFormat="false" ht="15" hidden="false" customHeight="false" outlineLevel="0" collapsed="false">
      <c r="A475" s="2" t="s">
        <v>2644</v>
      </c>
      <c r="B475" s="2" t="s">
        <v>4154</v>
      </c>
      <c r="C475" s="2" t="s">
        <v>4155</v>
      </c>
      <c r="D475" s="2" t="s">
        <v>4156</v>
      </c>
      <c r="E475" s="2" t="s">
        <v>58</v>
      </c>
      <c r="F475" s="2" t="s">
        <v>1983</v>
      </c>
      <c r="G475" s="2" t="s">
        <v>1201</v>
      </c>
      <c r="H475" s="2" t="s">
        <v>4157</v>
      </c>
      <c r="I475" s="2" t="s">
        <v>4158</v>
      </c>
      <c r="J475" s="2" t="s">
        <v>4159</v>
      </c>
      <c r="K475" s="2" t="s">
        <v>4160</v>
      </c>
      <c r="L475" s="2" t="s">
        <v>4161</v>
      </c>
      <c r="M475" s="2"/>
      <c r="N475" s="2"/>
      <c r="O475" s="2" t="s">
        <v>37</v>
      </c>
      <c r="P475" s="2" t="s">
        <v>38</v>
      </c>
      <c r="Q475" s="2"/>
      <c r="R475" s="3" t="n">
        <v>0.83</v>
      </c>
      <c r="S475" s="3" t="n">
        <v>1.2</v>
      </c>
      <c r="T475" s="3" t="n">
        <v>1.8</v>
      </c>
      <c r="U475" s="2" t="s">
        <v>4162</v>
      </c>
      <c r="V475" s="2" t="s">
        <v>40</v>
      </c>
      <c r="W475" s="2" t="s">
        <v>4094</v>
      </c>
      <c r="X475" s="5" t="s">
        <v>2258</v>
      </c>
      <c r="Y475" s="2" t="n">
        <v>14716028</v>
      </c>
    </row>
    <row r="476" customFormat="false" ht="15" hidden="false" customHeight="false" outlineLevel="0" collapsed="false">
      <c r="A476" s="2" t="s">
        <v>1980</v>
      </c>
      <c r="B476" s="2" t="s">
        <v>4163</v>
      </c>
      <c r="C476" s="2" t="s">
        <v>4164</v>
      </c>
      <c r="D476" s="2" t="s">
        <v>4165</v>
      </c>
      <c r="E476" s="2" t="s">
        <v>244</v>
      </c>
      <c r="F476" s="2" t="s">
        <v>30</v>
      </c>
      <c r="G476" s="2" t="s">
        <v>4166</v>
      </c>
      <c r="H476" s="2" t="s">
        <v>4167</v>
      </c>
      <c r="I476" s="2" t="s">
        <v>4168</v>
      </c>
      <c r="J476" s="2" t="s">
        <v>4169</v>
      </c>
      <c r="K476" s="2" t="s">
        <v>4170</v>
      </c>
      <c r="L476" s="2" t="s">
        <v>3092</v>
      </c>
      <c r="M476" s="2"/>
      <c r="N476" s="2"/>
      <c r="O476" s="2" t="s">
        <v>37</v>
      </c>
      <c r="P476" s="2" t="s">
        <v>38</v>
      </c>
      <c r="Q476" s="2"/>
      <c r="R476" s="3" t="n">
        <v>0.95</v>
      </c>
      <c r="S476" s="3" t="n">
        <v>1.2</v>
      </c>
      <c r="T476" s="3" t="n">
        <v>2</v>
      </c>
      <c r="U476" s="2" t="s">
        <v>4171</v>
      </c>
      <c r="V476" s="2" t="s">
        <v>40</v>
      </c>
      <c r="W476" s="2" t="s">
        <v>4094</v>
      </c>
      <c r="X476" s="5" t="s">
        <v>2251</v>
      </c>
      <c r="Y476" s="2" t="n">
        <v>14716027</v>
      </c>
    </row>
    <row r="477" customFormat="false" ht="15" hidden="false" customHeight="false" outlineLevel="0" collapsed="false">
      <c r="A477" s="2" t="s">
        <v>1028</v>
      </c>
      <c r="B477" s="2" t="s">
        <v>4172</v>
      </c>
      <c r="C477" s="2" t="s">
        <v>1972</v>
      </c>
      <c r="D477" s="2" t="s">
        <v>4173</v>
      </c>
      <c r="E477" s="2" t="s">
        <v>103</v>
      </c>
      <c r="F477" s="2" t="s">
        <v>165</v>
      </c>
      <c r="G477" s="2" t="s">
        <v>4174</v>
      </c>
      <c r="H477" s="2" t="s">
        <v>4175</v>
      </c>
      <c r="I477" s="2" t="s">
        <v>4176</v>
      </c>
      <c r="J477" s="2" t="s">
        <v>4177</v>
      </c>
      <c r="K477" s="2" t="s">
        <v>4178</v>
      </c>
      <c r="L477" s="2" t="s">
        <v>2328</v>
      </c>
      <c r="M477" s="2"/>
      <c r="N477" s="2"/>
      <c r="O477" s="2" t="s">
        <v>37</v>
      </c>
      <c r="P477" s="2" t="s">
        <v>38</v>
      </c>
      <c r="Q477" s="2"/>
      <c r="R477" s="3" t="n">
        <v>0.92</v>
      </c>
      <c r="S477" s="3" t="n">
        <v>1.2</v>
      </c>
      <c r="T477" s="3" t="n">
        <v>2</v>
      </c>
      <c r="U477" s="2" t="s">
        <v>4179</v>
      </c>
      <c r="V477" s="2" t="s">
        <v>40</v>
      </c>
      <c r="W477" s="2" t="s">
        <v>4094</v>
      </c>
      <c r="X477" s="5" t="s">
        <v>2258</v>
      </c>
      <c r="Y477" s="2" t="n">
        <v>14716026</v>
      </c>
    </row>
    <row r="478" customFormat="false" ht="15" hidden="false" customHeight="false" outlineLevel="0" collapsed="false">
      <c r="A478" s="2" t="s">
        <v>4180</v>
      </c>
      <c r="B478" s="2" t="s">
        <v>4181</v>
      </c>
      <c r="C478" s="2" t="s">
        <v>4182</v>
      </c>
      <c r="D478" s="2" t="s">
        <v>4183</v>
      </c>
      <c r="E478" s="2" t="s">
        <v>90</v>
      </c>
      <c r="F478" s="2" t="s">
        <v>30</v>
      </c>
      <c r="G478" s="2" t="s">
        <v>59</v>
      </c>
      <c r="H478" s="2" t="s">
        <v>4184</v>
      </c>
      <c r="I478" s="2" t="s">
        <v>4185</v>
      </c>
      <c r="J478" s="2" t="s">
        <v>4186</v>
      </c>
      <c r="K478" s="2" t="s">
        <v>4187</v>
      </c>
      <c r="L478" s="2" t="s">
        <v>4188</v>
      </c>
      <c r="M478" s="2"/>
      <c r="N478" s="2"/>
      <c r="O478" s="2" t="s">
        <v>1466</v>
      </c>
      <c r="P478" s="2" t="s">
        <v>1467</v>
      </c>
      <c r="Q478" s="2"/>
      <c r="R478" s="3" t="n">
        <v>0.94</v>
      </c>
      <c r="S478" s="3" t="n">
        <v>1</v>
      </c>
      <c r="T478" s="3" t="n">
        <v>1.9</v>
      </c>
      <c r="U478" s="2"/>
      <c r="V478" s="2" t="s">
        <v>40</v>
      </c>
      <c r="W478" s="2" t="s">
        <v>4189</v>
      </c>
      <c r="X478" s="5" t="s">
        <v>2251</v>
      </c>
      <c r="Y478" s="2" t="n">
        <v>14684673</v>
      </c>
    </row>
    <row r="479" customFormat="false" ht="15" hidden="false" customHeight="false" outlineLevel="0" collapsed="false">
      <c r="A479" s="2" t="s">
        <v>4190</v>
      </c>
      <c r="B479" s="2" t="s">
        <v>4191</v>
      </c>
      <c r="C479" s="2" t="s">
        <v>1536</v>
      </c>
      <c r="D479" s="2" t="s">
        <v>4192</v>
      </c>
      <c r="E479" s="2" t="s">
        <v>90</v>
      </c>
      <c r="F479" s="2" t="s">
        <v>165</v>
      </c>
      <c r="G479" s="2" t="s">
        <v>4193</v>
      </c>
      <c r="H479" s="2" t="s">
        <v>4194</v>
      </c>
      <c r="I479" s="2" t="s">
        <v>4195</v>
      </c>
      <c r="J479" s="2" t="s">
        <v>4196</v>
      </c>
      <c r="K479" s="2" t="s">
        <v>4197</v>
      </c>
      <c r="L479" s="2" t="s">
        <v>4198</v>
      </c>
      <c r="M479" s="2"/>
      <c r="N479" s="2"/>
      <c r="O479" s="2" t="s">
        <v>1466</v>
      </c>
      <c r="P479" s="2" t="s">
        <v>1467</v>
      </c>
      <c r="Q479" s="2"/>
      <c r="R479" s="3" t="n">
        <v>0.95</v>
      </c>
      <c r="S479" s="3" t="n">
        <v>1</v>
      </c>
      <c r="T479" s="3" t="n">
        <v>1.9</v>
      </c>
      <c r="U479" s="2"/>
      <c r="V479" s="2" t="s">
        <v>40</v>
      </c>
      <c r="W479" s="2" t="s">
        <v>4189</v>
      </c>
      <c r="X479" s="5" t="s">
        <v>2258</v>
      </c>
      <c r="Y479" s="2" t="n">
        <v>14684672</v>
      </c>
    </row>
    <row r="480" customFormat="false" ht="15" hidden="false" customHeight="false" outlineLevel="0" collapsed="false">
      <c r="A480" s="2" t="s">
        <v>4199</v>
      </c>
      <c r="B480" s="2" t="s">
        <v>4200</v>
      </c>
      <c r="C480" s="2" t="s">
        <v>175</v>
      </c>
      <c r="D480" s="2" t="s">
        <v>4201</v>
      </c>
      <c r="E480" s="2" t="s">
        <v>90</v>
      </c>
      <c r="F480" s="2" t="s">
        <v>165</v>
      </c>
      <c r="G480" s="2" t="s">
        <v>4202</v>
      </c>
      <c r="H480" s="2"/>
      <c r="I480" s="2" t="s">
        <v>4203</v>
      </c>
      <c r="J480" s="2" t="s">
        <v>4204</v>
      </c>
      <c r="K480" s="2" t="s">
        <v>4205</v>
      </c>
      <c r="L480" s="2" t="s">
        <v>4206</v>
      </c>
      <c r="M480" s="2"/>
      <c r="N480" s="2"/>
      <c r="O480" s="2" t="s">
        <v>1466</v>
      </c>
      <c r="P480" s="2" t="s">
        <v>1467</v>
      </c>
      <c r="Q480" s="2"/>
      <c r="R480" s="3" t="n">
        <v>0.95</v>
      </c>
      <c r="S480" s="3" t="n">
        <v>1</v>
      </c>
      <c r="T480" s="3" t="n">
        <v>1.9</v>
      </c>
      <c r="U480" s="2"/>
      <c r="V480" s="2" t="s">
        <v>40</v>
      </c>
      <c r="W480" s="2" t="s">
        <v>4189</v>
      </c>
      <c r="X480" s="5" t="s">
        <v>2251</v>
      </c>
      <c r="Y480" s="2" t="n">
        <v>14684671</v>
      </c>
    </row>
    <row r="481" customFormat="false" ht="15" hidden="false" customHeight="false" outlineLevel="0" collapsed="false">
      <c r="A481" s="2" t="s">
        <v>4207</v>
      </c>
      <c r="B481" s="2" t="s">
        <v>1511</v>
      </c>
      <c r="C481" s="2" t="s">
        <v>175</v>
      </c>
      <c r="D481" s="2" t="s">
        <v>4208</v>
      </c>
      <c r="E481" s="2" t="s">
        <v>90</v>
      </c>
      <c r="F481" s="2" t="s">
        <v>165</v>
      </c>
      <c r="G481" s="2" t="s">
        <v>4209</v>
      </c>
      <c r="H481" s="2" t="s">
        <v>4210</v>
      </c>
      <c r="I481" s="2" t="s">
        <v>4211</v>
      </c>
      <c r="J481" s="2" t="s">
        <v>4212</v>
      </c>
      <c r="K481" s="2" t="s">
        <v>4213</v>
      </c>
      <c r="L481" s="2" t="s">
        <v>1754</v>
      </c>
      <c r="M481" s="2"/>
      <c r="N481" s="2"/>
      <c r="O481" s="2" t="s">
        <v>1466</v>
      </c>
      <c r="P481" s="2" t="s">
        <v>1467</v>
      </c>
      <c r="Q481" s="2"/>
      <c r="R481" s="3" t="n">
        <v>0.95</v>
      </c>
      <c r="S481" s="3" t="n">
        <v>1</v>
      </c>
      <c r="T481" s="3" t="n">
        <v>1.9</v>
      </c>
      <c r="U481" s="2"/>
      <c r="V481" s="2" t="s">
        <v>40</v>
      </c>
      <c r="W481" s="2" t="s">
        <v>4189</v>
      </c>
      <c r="X481" s="5" t="s">
        <v>2258</v>
      </c>
      <c r="Y481" s="2" t="n">
        <v>14684670</v>
      </c>
    </row>
    <row r="482" customFormat="false" ht="15" hidden="false" customHeight="false" outlineLevel="0" collapsed="false">
      <c r="A482" s="2" t="s">
        <v>4214</v>
      </c>
      <c r="B482" s="2" t="s">
        <v>3876</v>
      </c>
      <c r="C482" s="2" t="s">
        <v>1536</v>
      </c>
      <c r="D482" s="2" t="s">
        <v>4215</v>
      </c>
      <c r="E482" s="2" t="s">
        <v>90</v>
      </c>
      <c r="F482" s="2" t="s">
        <v>165</v>
      </c>
      <c r="G482" s="2" t="s">
        <v>674</v>
      </c>
      <c r="H482" s="2" t="s">
        <v>4216</v>
      </c>
      <c r="I482" s="2" t="s">
        <v>4217</v>
      </c>
      <c r="J482" s="2" t="s">
        <v>4218</v>
      </c>
      <c r="K482" s="2" t="s">
        <v>4219</v>
      </c>
      <c r="L482" s="2" t="s">
        <v>4220</v>
      </c>
      <c r="M482" s="2"/>
      <c r="N482" s="2"/>
      <c r="O482" s="2" t="s">
        <v>1466</v>
      </c>
      <c r="P482" s="2" t="s">
        <v>1467</v>
      </c>
      <c r="Q482" s="2"/>
      <c r="R482" s="3" t="n">
        <v>0.95</v>
      </c>
      <c r="S482" s="3" t="n">
        <v>1</v>
      </c>
      <c r="T482" s="3" t="n">
        <v>1.9</v>
      </c>
      <c r="U482" s="2"/>
      <c r="V482" s="2" t="s">
        <v>40</v>
      </c>
      <c r="W482" s="2" t="s">
        <v>4189</v>
      </c>
      <c r="X482" s="5" t="s">
        <v>2251</v>
      </c>
      <c r="Y482" s="2" t="n">
        <v>14684669</v>
      </c>
    </row>
    <row r="483" customFormat="false" ht="15" hidden="false" customHeight="false" outlineLevel="0" collapsed="false">
      <c r="A483" s="2" t="s">
        <v>726</v>
      </c>
      <c r="B483" s="2" t="s">
        <v>4221</v>
      </c>
      <c r="C483" s="2" t="s">
        <v>542</v>
      </c>
      <c r="D483" s="2" t="s">
        <v>4222</v>
      </c>
      <c r="E483" s="2" t="s">
        <v>90</v>
      </c>
      <c r="F483" s="2" t="s">
        <v>30</v>
      </c>
      <c r="G483" s="2" t="s">
        <v>4223</v>
      </c>
      <c r="H483" s="2"/>
      <c r="I483" s="2" t="s">
        <v>4224</v>
      </c>
      <c r="J483" s="2" t="s">
        <v>4225</v>
      </c>
      <c r="K483" s="2" t="s">
        <v>4226</v>
      </c>
      <c r="L483" s="2" t="s">
        <v>36</v>
      </c>
      <c r="M483" s="2"/>
      <c r="N483" s="2"/>
      <c r="O483" s="2" t="s">
        <v>1466</v>
      </c>
      <c r="P483" s="2" t="s">
        <v>1467</v>
      </c>
      <c r="Q483" s="2"/>
      <c r="R483" s="3" t="n">
        <v>0.95</v>
      </c>
      <c r="S483" s="3" t="n">
        <v>1</v>
      </c>
      <c r="T483" s="3" t="n">
        <v>1.9</v>
      </c>
      <c r="U483" s="2"/>
      <c r="V483" s="2" t="s">
        <v>40</v>
      </c>
      <c r="W483" s="2" t="s">
        <v>4189</v>
      </c>
      <c r="X483" s="5" t="s">
        <v>2258</v>
      </c>
      <c r="Y483" s="2" t="n">
        <v>14684668</v>
      </c>
    </row>
    <row r="484" customFormat="false" ht="15" hidden="false" customHeight="false" outlineLevel="0" collapsed="false">
      <c r="A484" s="2" t="s">
        <v>4227</v>
      </c>
      <c r="B484" s="2" t="s">
        <v>4228</v>
      </c>
      <c r="C484" s="2" t="s">
        <v>4229</v>
      </c>
      <c r="D484" s="2" t="s">
        <v>4230</v>
      </c>
      <c r="E484" s="2" t="s">
        <v>90</v>
      </c>
      <c r="F484" s="2" t="s">
        <v>1487</v>
      </c>
      <c r="G484" s="2" t="s">
        <v>2452</v>
      </c>
      <c r="H484" s="2"/>
      <c r="I484" s="2" t="s">
        <v>4231</v>
      </c>
      <c r="J484" s="2" t="s">
        <v>4232</v>
      </c>
      <c r="K484" s="2" t="s">
        <v>4229</v>
      </c>
      <c r="L484" s="2" t="s">
        <v>36</v>
      </c>
      <c r="M484" s="2"/>
      <c r="N484" s="2"/>
      <c r="O484" s="2" t="s">
        <v>1466</v>
      </c>
      <c r="P484" s="2" t="s">
        <v>1467</v>
      </c>
      <c r="Q484" s="2"/>
      <c r="R484" s="3" t="n">
        <v>0.95</v>
      </c>
      <c r="S484" s="3" t="n">
        <v>1</v>
      </c>
      <c r="T484" s="3" t="n">
        <v>1.9</v>
      </c>
      <c r="U484" s="2"/>
      <c r="V484" s="2" t="s">
        <v>40</v>
      </c>
      <c r="W484" s="2" t="s">
        <v>4189</v>
      </c>
      <c r="X484" s="5" t="s">
        <v>2251</v>
      </c>
      <c r="Y484" s="2" t="n">
        <v>14684667</v>
      </c>
    </row>
    <row r="485" customFormat="false" ht="15" hidden="false" customHeight="false" outlineLevel="0" collapsed="false">
      <c r="A485" s="2" t="s">
        <v>4233</v>
      </c>
      <c r="B485" s="2" t="s">
        <v>4234</v>
      </c>
      <c r="C485" s="2" t="s">
        <v>1536</v>
      </c>
      <c r="D485" s="2" t="s">
        <v>4235</v>
      </c>
      <c r="E485" s="2" t="s">
        <v>90</v>
      </c>
      <c r="F485" s="2" t="s">
        <v>30</v>
      </c>
      <c r="G485" s="2" t="s">
        <v>4236</v>
      </c>
      <c r="H485" s="2"/>
      <c r="I485" s="2" t="s">
        <v>4237</v>
      </c>
      <c r="J485" s="2" t="s">
        <v>4238</v>
      </c>
      <c r="K485" s="2" t="s">
        <v>4239</v>
      </c>
      <c r="L485" s="2" t="s">
        <v>4240</v>
      </c>
      <c r="M485" s="2"/>
      <c r="N485" s="2"/>
      <c r="O485" s="2" t="s">
        <v>1466</v>
      </c>
      <c r="P485" s="2" t="s">
        <v>1467</v>
      </c>
      <c r="Q485" s="2"/>
      <c r="R485" s="3" t="n">
        <v>0.95</v>
      </c>
      <c r="S485" s="3" t="n">
        <v>1</v>
      </c>
      <c r="T485" s="3" t="n">
        <v>1.9</v>
      </c>
      <c r="U485" s="2"/>
      <c r="V485" s="2" t="s">
        <v>40</v>
      </c>
      <c r="W485" s="2" t="s">
        <v>4189</v>
      </c>
      <c r="X485" s="5" t="s">
        <v>2258</v>
      </c>
      <c r="Y485" s="2" t="n">
        <v>14684666</v>
      </c>
    </row>
    <row r="486" customFormat="false" ht="15" hidden="false" customHeight="false" outlineLevel="0" collapsed="false">
      <c r="A486" s="2" t="s">
        <v>4241</v>
      </c>
      <c r="B486" s="2" t="s">
        <v>4242</v>
      </c>
      <c r="C486" s="2" t="s">
        <v>4243</v>
      </c>
      <c r="D486" s="2" t="s">
        <v>4244</v>
      </c>
      <c r="E486" s="2" t="s">
        <v>90</v>
      </c>
      <c r="F486" s="2" t="s">
        <v>48</v>
      </c>
      <c r="G486" s="2" t="s">
        <v>4245</v>
      </c>
      <c r="H486" s="2" t="s">
        <v>4246</v>
      </c>
      <c r="I486" s="2" t="s">
        <v>4247</v>
      </c>
      <c r="J486" s="2" t="s">
        <v>4248</v>
      </c>
      <c r="K486" s="2" t="s">
        <v>4249</v>
      </c>
      <c r="L486" s="2" t="s">
        <v>4250</v>
      </c>
      <c r="M486" s="2"/>
      <c r="N486" s="2"/>
      <c r="O486" s="2" t="s">
        <v>1466</v>
      </c>
      <c r="P486" s="2" t="s">
        <v>1467</v>
      </c>
      <c r="Q486" s="2"/>
      <c r="R486" s="3" t="n">
        <v>0.95</v>
      </c>
      <c r="S486" s="3" t="n">
        <v>1</v>
      </c>
      <c r="T486" s="3" t="n">
        <v>1.9</v>
      </c>
      <c r="U486" s="2"/>
      <c r="V486" s="2" t="s">
        <v>40</v>
      </c>
      <c r="W486" s="2" t="s">
        <v>4189</v>
      </c>
      <c r="X486" s="5" t="s">
        <v>2251</v>
      </c>
      <c r="Y486" s="2" t="n">
        <v>14684665</v>
      </c>
    </row>
    <row r="487" customFormat="false" ht="15" hidden="false" customHeight="false" outlineLevel="0" collapsed="false">
      <c r="A487" s="2" t="s">
        <v>2119</v>
      </c>
      <c r="B487" s="2" t="s">
        <v>4251</v>
      </c>
      <c r="C487" s="2" t="s">
        <v>2017</v>
      </c>
      <c r="D487" s="2" t="s">
        <v>4252</v>
      </c>
      <c r="E487" s="2" t="s">
        <v>103</v>
      </c>
      <c r="F487" s="2" t="s">
        <v>165</v>
      </c>
      <c r="G487" s="2" t="s">
        <v>836</v>
      </c>
      <c r="H487" s="2" t="s">
        <v>4253</v>
      </c>
      <c r="I487" s="2" t="s">
        <v>4254</v>
      </c>
      <c r="J487" s="2" t="s">
        <v>4255</v>
      </c>
      <c r="K487" s="2" t="s">
        <v>4256</v>
      </c>
      <c r="L487" s="2" t="s">
        <v>4257</v>
      </c>
      <c r="M487" s="2"/>
      <c r="N487" s="2"/>
      <c r="O487" s="2" t="s">
        <v>1764</v>
      </c>
      <c r="P487" s="2" t="s">
        <v>2841</v>
      </c>
      <c r="Q487" s="2"/>
      <c r="R487" s="3" t="n">
        <v>1</v>
      </c>
      <c r="S487" s="3" t="n">
        <v>1.6</v>
      </c>
      <c r="T487" s="3" t="n">
        <v>2.3</v>
      </c>
      <c r="U487" s="2" t="s">
        <v>4258</v>
      </c>
      <c r="V487" s="2" t="s">
        <v>40</v>
      </c>
      <c r="W487" s="2" t="s">
        <v>4259</v>
      </c>
      <c r="X487" s="5" t="s">
        <v>2258</v>
      </c>
      <c r="Y487" s="2" t="n">
        <v>14672186</v>
      </c>
    </row>
    <row r="488" customFormat="false" ht="15" hidden="false" customHeight="false" outlineLevel="0" collapsed="false">
      <c r="A488" s="2" t="s">
        <v>4260</v>
      </c>
      <c r="B488" s="2" t="s">
        <v>4261</v>
      </c>
      <c r="C488" s="2" t="s">
        <v>4262</v>
      </c>
      <c r="D488" s="2" t="s">
        <v>4263</v>
      </c>
      <c r="E488" s="2" t="s">
        <v>103</v>
      </c>
      <c r="F488" s="2" t="s">
        <v>30</v>
      </c>
      <c r="G488" s="2" t="s">
        <v>4264</v>
      </c>
      <c r="H488" s="2" t="s">
        <v>4265</v>
      </c>
      <c r="I488" s="2" t="s">
        <v>4266</v>
      </c>
      <c r="J488" s="2" t="s">
        <v>4267</v>
      </c>
      <c r="K488" s="2" t="s">
        <v>4268</v>
      </c>
      <c r="L488" s="2" t="s">
        <v>4269</v>
      </c>
      <c r="M488" s="2"/>
      <c r="N488" s="2"/>
      <c r="O488" s="2" t="s">
        <v>1764</v>
      </c>
      <c r="P488" s="2" t="s">
        <v>2841</v>
      </c>
      <c r="Q488" s="2"/>
      <c r="R488" s="3" t="n">
        <v>0.93</v>
      </c>
      <c r="S488" s="3" t="n">
        <v>1.6</v>
      </c>
      <c r="T488" s="3" t="n">
        <v>2.2</v>
      </c>
      <c r="U488" s="2" t="s">
        <v>4270</v>
      </c>
      <c r="V488" s="2" t="s">
        <v>40</v>
      </c>
      <c r="W488" s="2" t="s">
        <v>4259</v>
      </c>
      <c r="X488" s="5" t="s">
        <v>2251</v>
      </c>
      <c r="Y488" s="2" t="n">
        <v>14672185</v>
      </c>
    </row>
    <row r="489" customFormat="false" ht="15" hidden="false" customHeight="false" outlineLevel="0" collapsed="false">
      <c r="A489" s="2" t="s">
        <v>240</v>
      </c>
      <c r="B489" s="2" t="s">
        <v>3221</v>
      </c>
      <c r="C489" s="2" t="s">
        <v>45</v>
      </c>
      <c r="D489" s="2" t="s">
        <v>4271</v>
      </c>
      <c r="E489" s="2" t="s">
        <v>47</v>
      </c>
      <c r="F489" s="2" t="s">
        <v>48</v>
      </c>
      <c r="G489" s="2" t="s">
        <v>4272</v>
      </c>
      <c r="H489" s="2"/>
      <c r="I489" s="2" t="s">
        <v>4273</v>
      </c>
      <c r="J489" s="2" t="s">
        <v>4274</v>
      </c>
      <c r="K489" s="2" t="s">
        <v>4275</v>
      </c>
      <c r="L489" s="2" t="s">
        <v>2596</v>
      </c>
      <c r="M489" s="2"/>
      <c r="N489" s="2"/>
      <c r="O489" s="2" t="s">
        <v>1764</v>
      </c>
      <c r="P489" s="2" t="s">
        <v>2841</v>
      </c>
      <c r="Q489" s="2"/>
      <c r="R489" s="3" t="n">
        <v>0.85</v>
      </c>
      <c r="S489" s="3" t="n">
        <v>1.6</v>
      </c>
      <c r="T489" s="3" t="n">
        <v>2.1</v>
      </c>
      <c r="U489" s="2" t="s">
        <v>4276</v>
      </c>
      <c r="V489" s="2" t="s">
        <v>40</v>
      </c>
      <c r="W489" s="2" t="s">
        <v>4259</v>
      </c>
      <c r="X489" s="5" t="s">
        <v>2258</v>
      </c>
      <c r="Y489" s="2" t="n">
        <v>14672183</v>
      </c>
    </row>
    <row r="490" customFormat="false" ht="15" hidden="false" customHeight="false" outlineLevel="0" collapsed="false">
      <c r="A490" s="2" t="s">
        <v>1550</v>
      </c>
      <c r="B490" s="2" t="s">
        <v>4277</v>
      </c>
      <c r="C490" s="2" t="s">
        <v>1291</v>
      </c>
      <c r="D490" s="2" t="s">
        <v>4278</v>
      </c>
      <c r="E490" s="2" t="s">
        <v>103</v>
      </c>
      <c r="F490" s="2" t="s">
        <v>1983</v>
      </c>
      <c r="G490" s="2" t="s">
        <v>256</v>
      </c>
      <c r="H490" s="2"/>
      <c r="I490" s="2" t="s">
        <v>4279</v>
      </c>
      <c r="J490" s="2" t="s">
        <v>4280</v>
      </c>
      <c r="K490" s="2" t="s">
        <v>4281</v>
      </c>
      <c r="L490" s="2" t="s">
        <v>2110</v>
      </c>
      <c r="M490" s="2"/>
      <c r="N490" s="2"/>
      <c r="O490" s="2" t="s">
        <v>1764</v>
      </c>
      <c r="P490" s="2" t="s">
        <v>2841</v>
      </c>
      <c r="Q490" s="2"/>
      <c r="R490" s="3" t="n">
        <v>0.8</v>
      </c>
      <c r="S490" s="3" t="n">
        <v>1.6</v>
      </c>
      <c r="T490" s="3" t="n">
        <v>2</v>
      </c>
      <c r="U490" s="2" t="s">
        <v>4282</v>
      </c>
      <c r="V490" s="2" t="s">
        <v>40</v>
      </c>
      <c r="W490" s="2" t="s">
        <v>4283</v>
      </c>
      <c r="X490" s="5" t="s">
        <v>2251</v>
      </c>
      <c r="Y490" s="2" t="n">
        <v>14672162</v>
      </c>
    </row>
    <row r="491" customFormat="false" ht="15" hidden="false" customHeight="false" outlineLevel="0" collapsed="false">
      <c r="A491" s="2" t="s">
        <v>4284</v>
      </c>
      <c r="B491" s="2" t="s">
        <v>4285</v>
      </c>
      <c r="C491" s="2" t="s">
        <v>3478</v>
      </c>
      <c r="D491" s="2" t="s">
        <v>4286</v>
      </c>
      <c r="E491" s="2" t="s">
        <v>58</v>
      </c>
      <c r="F491" s="2" t="s">
        <v>165</v>
      </c>
      <c r="G491" s="2" t="s">
        <v>59</v>
      </c>
      <c r="H491" s="2" t="s">
        <v>4287</v>
      </c>
      <c r="I491" s="2" t="s">
        <v>4288</v>
      </c>
      <c r="J491" s="2" t="s">
        <v>4289</v>
      </c>
      <c r="K491" s="2" t="s">
        <v>4290</v>
      </c>
      <c r="L491" s="2" t="s">
        <v>2715</v>
      </c>
      <c r="M491" s="2"/>
      <c r="N491" s="2"/>
      <c r="O491" s="2" t="s">
        <v>1764</v>
      </c>
      <c r="P491" s="2" t="s">
        <v>2841</v>
      </c>
      <c r="Q491" s="2"/>
      <c r="R491" s="3" t="n">
        <v>0.93</v>
      </c>
      <c r="S491" s="3" t="n">
        <v>1.6</v>
      </c>
      <c r="T491" s="3" t="n">
        <v>2.2</v>
      </c>
      <c r="U491" s="2" t="s">
        <v>4291</v>
      </c>
      <c r="V491" s="2" t="s">
        <v>40</v>
      </c>
      <c r="W491" s="2" t="s">
        <v>4283</v>
      </c>
      <c r="X491" s="5" t="s">
        <v>2258</v>
      </c>
      <c r="Y491" s="2" t="n">
        <v>14672160</v>
      </c>
    </row>
    <row r="492" customFormat="false" ht="15" hidden="false" customHeight="false" outlineLevel="0" collapsed="false">
      <c r="A492" s="2" t="s">
        <v>4292</v>
      </c>
      <c r="B492" s="2" t="s">
        <v>4293</v>
      </c>
      <c r="C492" s="2" t="s">
        <v>494</v>
      </c>
      <c r="D492" s="2" t="s">
        <v>4294</v>
      </c>
      <c r="E492" s="2" t="s">
        <v>255</v>
      </c>
      <c r="F492" s="2" t="s">
        <v>48</v>
      </c>
      <c r="G492" s="2" t="s">
        <v>4264</v>
      </c>
      <c r="H492" s="2" t="s">
        <v>4295</v>
      </c>
      <c r="I492" s="2" t="s">
        <v>4296</v>
      </c>
      <c r="J492" s="2" t="s">
        <v>4297</v>
      </c>
      <c r="K492" s="2" t="s">
        <v>4298</v>
      </c>
      <c r="L492" s="2" t="s">
        <v>3391</v>
      </c>
      <c r="M492" s="2"/>
      <c r="N492" s="2"/>
      <c r="O492" s="2" t="s">
        <v>1764</v>
      </c>
      <c r="P492" s="2" t="s">
        <v>2841</v>
      </c>
      <c r="Q492" s="2"/>
      <c r="R492" s="3" t="n">
        <v>0.95</v>
      </c>
      <c r="S492" s="3" t="n">
        <v>1.6</v>
      </c>
      <c r="T492" s="3" t="n">
        <v>2.2</v>
      </c>
      <c r="U492" s="2" t="s">
        <v>4299</v>
      </c>
      <c r="V492" s="2" t="s">
        <v>40</v>
      </c>
      <c r="W492" s="2" t="s">
        <v>4283</v>
      </c>
      <c r="X492" s="5" t="s">
        <v>2251</v>
      </c>
      <c r="Y492" s="2" t="n">
        <v>14672159</v>
      </c>
    </row>
    <row r="493" customFormat="false" ht="15" hidden="false" customHeight="false" outlineLevel="0" collapsed="false">
      <c r="A493" s="2" t="s">
        <v>3078</v>
      </c>
      <c r="B493" s="2" t="s">
        <v>4300</v>
      </c>
      <c r="C493" s="2" t="s">
        <v>4301</v>
      </c>
      <c r="D493" s="2" t="s">
        <v>4302</v>
      </c>
      <c r="E493" s="2" t="s">
        <v>255</v>
      </c>
      <c r="F493" s="2" t="s">
        <v>165</v>
      </c>
      <c r="G493" s="2" t="s">
        <v>4303</v>
      </c>
      <c r="H493" s="2" t="s">
        <v>4304</v>
      </c>
      <c r="I493" s="2" t="s">
        <v>4305</v>
      </c>
      <c r="J493" s="2" t="s">
        <v>4306</v>
      </c>
      <c r="K493" s="2" t="s">
        <v>4307</v>
      </c>
      <c r="L493" s="2" t="s">
        <v>2110</v>
      </c>
      <c r="M493" s="2"/>
      <c r="N493" s="2"/>
      <c r="O493" s="2" t="s">
        <v>1764</v>
      </c>
      <c r="P493" s="2" t="s">
        <v>2841</v>
      </c>
      <c r="Q493" s="2"/>
      <c r="R493" s="3" t="n">
        <v>0.93</v>
      </c>
      <c r="S493" s="3" t="n">
        <v>1.6</v>
      </c>
      <c r="T493" s="3" t="n">
        <v>2.2</v>
      </c>
      <c r="U493" s="2" t="s">
        <v>4308</v>
      </c>
      <c r="V493" s="2" t="s">
        <v>40</v>
      </c>
      <c r="W493" s="2" t="s">
        <v>4283</v>
      </c>
      <c r="X493" s="5" t="s">
        <v>2258</v>
      </c>
      <c r="Y493" s="2" t="n">
        <v>14672132</v>
      </c>
    </row>
    <row r="494" customFormat="false" ht="15" hidden="false" customHeight="false" outlineLevel="0" collapsed="false">
      <c r="A494" s="2" t="s">
        <v>4309</v>
      </c>
      <c r="B494" s="2" t="s">
        <v>1904</v>
      </c>
      <c r="C494" s="2" t="s">
        <v>2017</v>
      </c>
      <c r="D494" s="2" t="s">
        <v>4310</v>
      </c>
      <c r="E494" s="2" t="s">
        <v>103</v>
      </c>
      <c r="F494" s="2" t="s">
        <v>165</v>
      </c>
      <c r="G494" s="2" t="s">
        <v>287</v>
      </c>
      <c r="H494" s="2" t="s">
        <v>4311</v>
      </c>
      <c r="I494" s="2" t="s">
        <v>4312</v>
      </c>
      <c r="J494" s="2" t="s">
        <v>4313</v>
      </c>
      <c r="K494" s="6" t="s">
        <v>4314</v>
      </c>
      <c r="L494" s="2" t="s">
        <v>2761</v>
      </c>
      <c r="M494" s="2"/>
      <c r="N494" s="2"/>
      <c r="O494" s="2" t="s">
        <v>1764</v>
      </c>
      <c r="P494" s="2" t="s">
        <v>2841</v>
      </c>
      <c r="Q494" s="2"/>
      <c r="R494" s="3" t="n">
        <v>0.97</v>
      </c>
      <c r="S494" s="3" t="n">
        <v>1.6</v>
      </c>
      <c r="T494" s="3" t="n">
        <v>2.3</v>
      </c>
      <c r="U494" s="2" t="s">
        <v>4315</v>
      </c>
      <c r="V494" s="2" t="s">
        <v>40</v>
      </c>
      <c r="W494" s="2" t="s">
        <v>4283</v>
      </c>
      <c r="X494" s="5" t="s">
        <v>2251</v>
      </c>
      <c r="Y494" s="2" t="n">
        <v>14672129</v>
      </c>
    </row>
    <row r="495" customFormat="false" ht="15" hidden="false" customHeight="false" outlineLevel="0" collapsed="false">
      <c r="A495" s="2" t="s">
        <v>4316</v>
      </c>
      <c r="B495" s="2" t="s">
        <v>4317</v>
      </c>
      <c r="C495" s="2" t="s">
        <v>4318</v>
      </c>
      <c r="D495" s="2" t="s">
        <v>4319</v>
      </c>
      <c r="E495" s="2" t="s">
        <v>58</v>
      </c>
      <c r="F495" s="2" t="s">
        <v>48</v>
      </c>
      <c r="G495" s="2" t="s">
        <v>437</v>
      </c>
      <c r="H495" s="2" t="s">
        <v>4320</v>
      </c>
      <c r="I495" s="2" t="s">
        <v>4321</v>
      </c>
      <c r="J495" s="2" t="s">
        <v>4322</v>
      </c>
      <c r="K495" s="2" t="s">
        <v>4323</v>
      </c>
      <c r="L495" s="2" t="s">
        <v>4324</v>
      </c>
      <c r="M495" s="2"/>
      <c r="N495" s="2"/>
      <c r="O495" s="2" t="s">
        <v>1764</v>
      </c>
      <c r="P495" s="2" t="s">
        <v>2841</v>
      </c>
      <c r="Q495" s="2"/>
      <c r="R495" s="3" t="n">
        <v>0.92</v>
      </c>
      <c r="S495" s="3" t="n">
        <v>1.6</v>
      </c>
      <c r="T495" s="3" t="n">
        <v>2.2</v>
      </c>
      <c r="U495" s="2" t="s">
        <v>4325</v>
      </c>
      <c r="V495" s="2" t="s">
        <v>40</v>
      </c>
      <c r="W495" s="2" t="s">
        <v>4283</v>
      </c>
      <c r="X495" s="5" t="s">
        <v>2258</v>
      </c>
      <c r="Y495" s="2" t="n">
        <v>14672128</v>
      </c>
    </row>
    <row r="496" customFormat="false" ht="15" hidden="false" customHeight="false" outlineLevel="0" collapsed="false">
      <c r="A496" s="2" t="s">
        <v>1384</v>
      </c>
      <c r="B496" s="2" t="s">
        <v>4326</v>
      </c>
      <c r="C496" s="2" t="s">
        <v>45</v>
      </c>
      <c r="D496" s="2" t="s">
        <v>4327</v>
      </c>
      <c r="E496" s="2" t="s">
        <v>255</v>
      </c>
      <c r="F496" s="2" t="s">
        <v>165</v>
      </c>
      <c r="G496" s="2" t="s">
        <v>1521</v>
      </c>
      <c r="H496" s="2" t="s">
        <v>4328</v>
      </c>
      <c r="I496" s="2" t="s">
        <v>4329</v>
      </c>
      <c r="J496" s="2" t="s">
        <v>4330</v>
      </c>
      <c r="K496" s="2" t="s">
        <v>4331</v>
      </c>
      <c r="L496" s="2" t="s">
        <v>2896</v>
      </c>
      <c r="M496" s="2"/>
      <c r="N496" s="2"/>
      <c r="O496" s="2" t="s">
        <v>1764</v>
      </c>
      <c r="P496" s="2" t="s">
        <v>2841</v>
      </c>
      <c r="Q496" s="2"/>
      <c r="R496" s="3" t="n">
        <v>0.89</v>
      </c>
      <c r="S496" s="3" t="n">
        <v>1.6</v>
      </c>
      <c r="T496" s="3" t="n">
        <v>2.1</v>
      </c>
      <c r="U496" s="2" t="s">
        <v>4332</v>
      </c>
      <c r="V496" s="2" t="s">
        <v>40</v>
      </c>
      <c r="W496" s="2" t="s">
        <v>4283</v>
      </c>
      <c r="X496" s="5" t="s">
        <v>2251</v>
      </c>
      <c r="Y496" s="2" t="n">
        <v>14672127</v>
      </c>
    </row>
    <row r="497" customFormat="false" ht="15" hidden="false" customHeight="false" outlineLevel="0" collapsed="false">
      <c r="A497" s="2" t="s">
        <v>3434</v>
      </c>
      <c r="B497" s="2" t="s">
        <v>1904</v>
      </c>
      <c r="C497" s="2" t="s">
        <v>494</v>
      </c>
      <c r="D497" s="2" t="s">
        <v>4333</v>
      </c>
      <c r="E497" s="2" t="s">
        <v>103</v>
      </c>
      <c r="F497" s="2" t="s">
        <v>165</v>
      </c>
      <c r="G497" s="2" t="s">
        <v>4334</v>
      </c>
      <c r="H497" s="2" t="s">
        <v>4335</v>
      </c>
      <c r="I497" s="2" t="s">
        <v>4336</v>
      </c>
      <c r="J497" s="2" t="s">
        <v>4337</v>
      </c>
      <c r="K497" s="2" t="s">
        <v>4338</v>
      </c>
      <c r="L497" s="2" t="s">
        <v>109</v>
      </c>
      <c r="M497" s="2"/>
      <c r="N497" s="2"/>
      <c r="O497" s="2" t="s">
        <v>1764</v>
      </c>
      <c r="P497" s="2" t="s">
        <v>2841</v>
      </c>
      <c r="Q497" s="2"/>
      <c r="R497" s="3" t="n">
        <v>0.9</v>
      </c>
      <c r="S497" s="3" t="n">
        <v>1.6</v>
      </c>
      <c r="T497" s="3" t="n">
        <v>2.2</v>
      </c>
      <c r="U497" s="2" t="s">
        <v>3904</v>
      </c>
      <c r="V497" s="2" t="s">
        <v>40</v>
      </c>
      <c r="W497" s="2" t="s">
        <v>4283</v>
      </c>
      <c r="X497" s="5" t="s">
        <v>2258</v>
      </c>
      <c r="Y497" s="2" t="n">
        <v>14672123</v>
      </c>
    </row>
    <row r="498" customFormat="false" ht="15" hidden="false" customHeight="false" outlineLevel="0" collapsed="false">
      <c r="A498" s="2" t="s">
        <v>4339</v>
      </c>
      <c r="B498" s="2" t="s">
        <v>4340</v>
      </c>
      <c r="C498" s="2" t="s">
        <v>4341</v>
      </c>
      <c r="D498" s="2" t="s">
        <v>4342</v>
      </c>
      <c r="E498" s="2" t="s">
        <v>58</v>
      </c>
      <c r="F498" s="2" t="s">
        <v>165</v>
      </c>
      <c r="G498" s="2" t="s">
        <v>1201</v>
      </c>
      <c r="H498" s="2" t="s">
        <v>4343</v>
      </c>
      <c r="I498" s="2" t="s">
        <v>4344</v>
      </c>
      <c r="J498" s="2" t="s">
        <v>4345</v>
      </c>
      <c r="K498" s="2" t="s">
        <v>4346</v>
      </c>
      <c r="L498" s="2" t="s">
        <v>4347</v>
      </c>
      <c r="M498" s="2"/>
      <c r="N498" s="2"/>
      <c r="O498" s="2" t="s">
        <v>1764</v>
      </c>
      <c r="P498" s="2" t="s">
        <v>2841</v>
      </c>
      <c r="Q498" s="2"/>
      <c r="R498" s="3" t="n">
        <v>0.84</v>
      </c>
      <c r="S498" s="3" t="n">
        <v>1.6</v>
      </c>
      <c r="T498" s="3" t="n">
        <v>2.1</v>
      </c>
      <c r="U498" s="2" t="s">
        <v>4348</v>
      </c>
      <c r="V498" s="2" t="s">
        <v>40</v>
      </c>
      <c r="W498" s="2" t="s">
        <v>4283</v>
      </c>
      <c r="X498" s="5" t="s">
        <v>2251</v>
      </c>
      <c r="Y498" s="2" t="n">
        <v>14672121</v>
      </c>
    </row>
    <row r="499" customFormat="false" ht="15" hidden="false" customHeight="false" outlineLevel="0" collapsed="false">
      <c r="A499" s="2" t="s">
        <v>4349</v>
      </c>
      <c r="B499" s="2" t="s">
        <v>4350</v>
      </c>
      <c r="C499" s="2" t="s">
        <v>494</v>
      </c>
      <c r="D499" s="2" t="s">
        <v>4351</v>
      </c>
      <c r="E499" s="2" t="s">
        <v>58</v>
      </c>
      <c r="F499" s="2" t="s">
        <v>48</v>
      </c>
      <c r="G499" s="2" t="s">
        <v>3426</v>
      </c>
      <c r="H499" s="2" t="s">
        <v>4352</v>
      </c>
      <c r="I499" s="2" t="s">
        <v>4353</v>
      </c>
      <c r="J499" s="2" t="s">
        <v>4354</v>
      </c>
      <c r="K499" s="6" t="s">
        <v>4355</v>
      </c>
      <c r="L499" s="2" t="s">
        <v>3295</v>
      </c>
      <c r="M499" s="2"/>
      <c r="N499" s="2"/>
      <c r="O499" s="2" t="s">
        <v>1764</v>
      </c>
      <c r="P499" s="2" t="s">
        <v>2841</v>
      </c>
      <c r="Q499" s="2"/>
      <c r="R499" s="3" t="n">
        <v>0.89</v>
      </c>
      <c r="S499" s="3" t="n">
        <v>1.6</v>
      </c>
      <c r="T499" s="3" t="n">
        <v>2.1</v>
      </c>
      <c r="U499" s="2" t="s">
        <v>4356</v>
      </c>
      <c r="V499" s="2" t="s">
        <v>40</v>
      </c>
      <c r="W499" s="2" t="s">
        <v>4283</v>
      </c>
      <c r="X499" s="5" t="s">
        <v>2258</v>
      </c>
      <c r="Y499" s="2" t="n">
        <v>14672115</v>
      </c>
    </row>
    <row r="500" customFormat="false" ht="15" hidden="false" customHeight="false" outlineLevel="0" collapsed="false">
      <c r="A500" s="2" t="s">
        <v>2054</v>
      </c>
      <c r="B500" s="2" t="s">
        <v>4357</v>
      </c>
      <c r="C500" s="2" t="s">
        <v>4358</v>
      </c>
      <c r="D500" s="2" t="s">
        <v>4359</v>
      </c>
      <c r="E500" s="2" t="s">
        <v>103</v>
      </c>
      <c r="F500" s="2" t="s">
        <v>165</v>
      </c>
      <c r="G500" s="2" t="s">
        <v>3818</v>
      </c>
      <c r="H500" s="2" t="s">
        <v>4360</v>
      </c>
      <c r="I500" s="2" t="s">
        <v>4361</v>
      </c>
      <c r="J500" s="2" t="s">
        <v>4362</v>
      </c>
      <c r="K500" s="2" t="s">
        <v>4363</v>
      </c>
      <c r="L500" s="2" t="s">
        <v>4364</v>
      </c>
      <c r="M500" s="2"/>
      <c r="N500" s="2"/>
      <c r="O500" s="2" t="s">
        <v>1764</v>
      </c>
      <c r="P500" s="2" t="s">
        <v>2841</v>
      </c>
      <c r="Q500" s="2"/>
      <c r="R500" s="3" t="n">
        <v>0.95</v>
      </c>
      <c r="S500" s="3" t="n">
        <v>1.6</v>
      </c>
      <c r="T500" s="3" t="n">
        <v>2.2</v>
      </c>
      <c r="U500" s="2" t="s">
        <v>4365</v>
      </c>
      <c r="V500" s="2" t="s">
        <v>40</v>
      </c>
      <c r="W500" s="2" t="s">
        <v>4283</v>
      </c>
      <c r="X500" s="5" t="s">
        <v>2251</v>
      </c>
      <c r="Y500" s="2" t="n">
        <v>14672112</v>
      </c>
    </row>
  </sheetData>
  <autoFilter ref="A1:Y5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3" min="3" style="0" width="10"/>
  </cols>
  <sheetData>
    <row r="1" customFormat="false" ht="15" hidden="false" customHeight="false" outlineLevel="0" collapsed="false">
      <c r="A1" s="7" t="s">
        <v>4366</v>
      </c>
      <c r="B1" s="2"/>
      <c r="C1" s="2"/>
    </row>
    <row r="2" customFormat="false" ht="15" hidden="false" customHeight="false" outlineLevel="0" collapsed="false">
      <c r="A2" s="2" t="s">
        <v>4367</v>
      </c>
      <c r="B2" s="2"/>
      <c r="C2" s="2"/>
    </row>
    <row r="3" customFormat="false" ht="15" hidden="false" customHeight="false" outlineLevel="0" collapsed="false">
      <c r="A3" s="2"/>
      <c r="B3" s="2"/>
      <c r="C3" s="2"/>
    </row>
    <row r="4" customFormat="false" ht="15" hidden="false" customHeight="false" outlineLevel="0" collapsed="false">
      <c r="A4" s="8" t="s">
        <v>4368</v>
      </c>
      <c r="B4" s="8" t="s">
        <v>4369</v>
      </c>
      <c r="C4" s="2"/>
    </row>
    <row r="5" customFormat="false" ht="15" hidden="false" customHeight="false" outlineLevel="0" collapsed="false">
      <c r="A5" s="2" t="s">
        <v>42</v>
      </c>
      <c r="B5" s="2" t="n">
        <f aca="false">COUNTIF(Leads!$X$2:$X$500,"NEW*")</f>
        <v>238</v>
      </c>
      <c r="C5" s="2"/>
    </row>
    <row r="6" customFormat="false" ht="15" hidden="false" customHeight="false" outlineLevel="0" collapsed="false">
      <c r="A6" s="2" t="s">
        <v>2251</v>
      </c>
      <c r="B6" s="2" t="n">
        <f aca="false">COUNTIF(Leads!$X$2:$X$500,"Previously exported (Amanda Scott*")</f>
        <v>131</v>
      </c>
      <c r="C6" s="2"/>
    </row>
    <row r="7" customFormat="false" ht="15" hidden="false" customHeight="false" outlineLevel="0" collapsed="false">
      <c r="A7" s="2" t="s">
        <v>2258</v>
      </c>
      <c r="B7" s="2" t="n">
        <f aca="false">COUNTIF(Leads!$X$2:$X$500,"Previously exported (Whitney Cole*")</f>
        <v>130</v>
      </c>
      <c r="C7" s="2"/>
    </row>
    <row r="8" customFormat="false" ht="15" hidden="false" customHeight="false" outlineLevel="0" collapsed="false">
      <c r="A8" s="8" t="s">
        <v>4370</v>
      </c>
      <c r="B8" s="8" t="n">
        <f aca="false">SUM(B5:B7)</f>
        <v>499</v>
      </c>
      <c r="C8" s="2"/>
    </row>
    <row r="9" customFormat="false" ht="15" hidden="false" customHeight="false" outlineLevel="0" collapsed="false">
      <c r="A9" s="2"/>
      <c r="B9" s="2"/>
      <c r="C9" s="2"/>
    </row>
    <row r="10" customFormat="false" ht="15" hidden="false" customHeight="false" outlineLevel="0" collapsed="false">
      <c r="A10" s="8" t="s">
        <v>4371</v>
      </c>
      <c r="B10" s="8" t="s">
        <v>4369</v>
      </c>
      <c r="C10" s="8" t="s">
        <v>4372</v>
      </c>
    </row>
    <row r="11" customFormat="false" ht="15" hidden="false" customHeight="false" outlineLevel="0" collapsed="false">
      <c r="A11" s="2" t="s">
        <v>37</v>
      </c>
      <c r="B11" s="2" t="n">
        <f aca="false">COUNTIF(Leads!$O$2:$O$500,A11)</f>
        <v>192</v>
      </c>
      <c r="C11" s="9" t="n">
        <f aca="false">IF($B$8=0,0,B11/$B$8)</f>
        <v>0.384769539078156</v>
      </c>
    </row>
    <row r="12" customFormat="false" ht="15" hidden="false" customHeight="false" outlineLevel="0" collapsed="false">
      <c r="A12" s="2" t="s">
        <v>1466</v>
      </c>
      <c r="B12" s="2" t="n">
        <f aca="false">COUNTIF(Leads!$O$2:$O$500,A12)</f>
        <v>163</v>
      </c>
      <c r="C12" s="9" t="n">
        <f aca="false">IF($B$8=0,0,B12/$B$8)</f>
        <v>0.326653306613226</v>
      </c>
    </row>
    <row r="13" customFormat="false" ht="15" hidden="false" customHeight="false" outlineLevel="0" collapsed="false">
      <c r="A13" s="2" t="s">
        <v>1764</v>
      </c>
      <c r="B13" s="2" t="n">
        <f aca="false">COUNTIF(Leads!$O$2:$O$500,A13)</f>
        <v>53</v>
      </c>
      <c r="C13" s="9" t="n">
        <f aca="false">IF($B$8=0,0,B13/$B$8)</f>
        <v>0.106212424849699</v>
      </c>
    </row>
    <row r="14" customFormat="false" ht="15" hidden="false" customHeight="false" outlineLevel="0" collapsed="false">
      <c r="A14" s="2" t="s">
        <v>1440</v>
      </c>
      <c r="B14" s="2" t="n">
        <f aca="false">COUNTIF(Leads!$O$2:$O$500,A14)</f>
        <v>48</v>
      </c>
      <c r="C14" s="9" t="n">
        <f aca="false">IF($B$8=0,0,B14/$B$8)</f>
        <v>0.0961923847695391</v>
      </c>
    </row>
    <row r="15" customFormat="false" ht="15" hidden="false" customHeight="false" outlineLevel="0" collapsed="false">
      <c r="A15" s="2" t="s">
        <v>1683</v>
      </c>
      <c r="B15" s="2" t="n">
        <f aca="false">COUNTIF(Leads!$O$2:$O$500,A15)</f>
        <v>29</v>
      </c>
      <c r="C15" s="9" t="n">
        <f aca="false">IF($B$8=0,0,B15/$B$8)</f>
        <v>0.0581162324649299</v>
      </c>
    </row>
    <row r="16" customFormat="false" ht="15" hidden="false" customHeight="false" outlineLevel="0" collapsed="false">
      <c r="A16" s="2" t="s">
        <v>2665</v>
      </c>
      <c r="B16" s="2" t="n">
        <f aca="false">COUNTIF(Leads!$O$2:$O$500,A16)</f>
        <v>8</v>
      </c>
      <c r="C16" s="9" t="n">
        <f aca="false">IF($B$8=0,0,B16/$B$8)</f>
        <v>0.0160320641282565</v>
      </c>
    </row>
    <row r="17" customFormat="false" ht="15" hidden="false" customHeight="false" outlineLevel="0" collapsed="false">
      <c r="A17" s="2" t="s">
        <v>1669</v>
      </c>
      <c r="B17" s="2" t="n">
        <f aca="false">COUNTIF(Leads!$O$2:$O$500,A17)</f>
        <v>6</v>
      </c>
      <c r="C17" s="9" t="n">
        <f aca="false">IF($B$8=0,0,B17/$B$8)</f>
        <v>0.0120240480961924</v>
      </c>
    </row>
    <row r="18" customFormat="false" ht="15" hidden="false" customHeight="false" outlineLevel="0" collapsed="false">
      <c r="A18" s="8" t="s">
        <v>4373</v>
      </c>
      <c r="B18" s="2" t="n">
        <f aca="false">SUM(B11:B17)</f>
        <v>499</v>
      </c>
      <c r="C18" s="2"/>
    </row>
    <row r="19" customFormat="false" ht="15" hidden="false" customHeight="false" outlineLevel="0" collapsed="false">
      <c r="A19" s="2"/>
      <c r="B19" s="2"/>
      <c r="C19" s="2"/>
    </row>
    <row r="20" customFormat="false" ht="15" hidden="false" customHeight="false" outlineLevel="0" collapsed="false">
      <c r="A20" s="8" t="s">
        <v>4374</v>
      </c>
      <c r="B20" s="8" t="s">
        <v>4369</v>
      </c>
      <c r="C20" s="2"/>
    </row>
    <row r="21" customFormat="false" ht="15" hidden="false" customHeight="false" outlineLevel="0" collapsed="false">
      <c r="A21" s="2" t="s">
        <v>4375</v>
      </c>
      <c r="B21" s="2" t="n">
        <f aca="false">COUNTIF(Leads!$M$2:$M$500,"?*")</f>
        <v>0</v>
      </c>
      <c r="C21" s="2"/>
    </row>
    <row r="22" customFormat="false" ht="15" hidden="false" customHeight="false" outlineLevel="0" collapsed="false">
      <c r="A22" s="2" t="s">
        <v>4376</v>
      </c>
      <c r="B22" s="2" t="n">
        <f aca="false">COUNTIF(Leads!$N$2:$N$500,"?*")</f>
        <v>0</v>
      </c>
      <c r="C22" s="2"/>
    </row>
    <row r="23" customFormat="false" ht="15" hidden="false" customHeight="false" outlineLevel="0" collapsed="false">
      <c r="A23" s="2" t="s">
        <v>4377</v>
      </c>
      <c r="B23" s="2" t="n">
        <f aca="false">COUNTIF(Leads!$V$2:$V$500,"Yes")</f>
        <v>0</v>
      </c>
      <c r="C23" s="2"/>
    </row>
    <row r="24" customFormat="false" ht="15" hidden="false" customHeight="false" outlineLevel="0" collapsed="false">
      <c r="A24" s="2" t="s">
        <v>4378</v>
      </c>
      <c r="B24" s="2" t="n">
        <f aca="false">COUNTIF(Leads!$T$2:$T$500,"&gt;=2")</f>
        <v>261</v>
      </c>
      <c r="C24" s="2"/>
    </row>
    <row r="25" customFormat="false" ht="15" hidden="false" customHeight="false" outlineLevel="0" collapsed="false">
      <c r="A25" s="2" t="s">
        <v>4379</v>
      </c>
      <c r="B25" s="3" t="n">
        <f aca="false">IFERROR(AVERAGE(Leads!$R$2:$R$500),0)</f>
        <v>0.907695390781563</v>
      </c>
      <c r="C25" s="2"/>
    </row>
    <row r="26" customFormat="false" ht="15" hidden="false" customHeight="false" outlineLevel="0" collapsed="false">
      <c r="A26" s="2" t="s">
        <v>4380</v>
      </c>
      <c r="B26" s="2" t="n">
        <f aca="false">COUNTIF(Leads!$W$2:$W$500,"2026-09-07*")</f>
        <v>149</v>
      </c>
      <c r="C26" s="2"/>
    </row>
    <row r="27" customFormat="false" ht="15" hidden="false" customHeight="false" outlineLevel="0" collapsed="false">
      <c r="A27" s="10" t="s">
        <v>4381</v>
      </c>
      <c r="B27" s="2"/>
      <c r="C2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2026-09-07T12:46:20Z</dcterms:created>
  <dc:creator>openpyxl</dc:creator>
  <dc:description/>
  <dc:language>en-US</dc:language>
  <cp:lastModifiedBy/>
  <dcterms:modified xsi:type="dcterms:W3CDTF">2026-09-07T12:46:20Z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